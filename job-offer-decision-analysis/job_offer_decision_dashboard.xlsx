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 Hussain\OneDrive\Desktop\excel-data-analysis-portfolio\job-offer-decision-analysis\"/>
    </mc:Choice>
  </mc:AlternateContent>
  <xr:revisionPtr revIDLastSave="0" documentId="13_ncr:1_{C897B04D-0459-4F97-939F-428A2740FA8F}" xr6:coauthVersionLast="47" xr6:coauthVersionMax="47" xr10:uidLastSave="{00000000-0000-0000-0000-000000000000}"/>
  <bookViews>
    <workbookView xWindow="-108" yWindow="-108" windowWidth="23256" windowHeight="12456" activeTab="2" xr2:uid="{687A2E03-3259-4CF4-9248-96F59AE09213}"/>
  </bookViews>
  <sheets>
    <sheet name="raw_data" sheetId="1" r:id="rId1"/>
    <sheet name="calculations" sheetId="2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7" i="3" s="1"/>
  <c r="B10" i="3"/>
  <c r="O10" i="2"/>
  <c r="P10" i="2"/>
  <c r="Q10" i="2"/>
  <c r="R10" i="2"/>
  <c r="S10" i="2"/>
  <c r="N10" i="2"/>
  <c r="B16" i="3"/>
  <c r="B14" i="3"/>
  <c r="B11" i="3"/>
  <c r="D4" i="3" a="1"/>
  <c r="D4" i="3" s="1"/>
  <c r="B5" i="3"/>
  <c r="B4" i="3"/>
  <c r="B3" i="3"/>
  <c r="D13" i="2"/>
  <c r="D10" i="2"/>
  <c r="O4" i="2"/>
  <c r="O5" i="2"/>
  <c r="O3" i="2"/>
  <c r="N3" i="2" a="1"/>
  <c r="N3" i="2" s="1"/>
  <c r="M3" i="2" a="1"/>
  <c r="M3" i="2" s="1"/>
  <c r="E3" i="2"/>
  <c r="E4" i="2"/>
  <c r="E5" i="2"/>
  <c r="F3" i="2"/>
  <c r="G3" i="2"/>
  <c r="H3" i="2"/>
  <c r="I3" i="2"/>
  <c r="J3" i="2"/>
  <c r="F4" i="2"/>
  <c r="K4" i="2" s="1"/>
  <c r="G4" i="2"/>
  <c r="H4" i="2"/>
  <c r="I4" i="2"/>
  <c r="J4" i="2"/>
  <c r="F5" i="2"/>
  <c r="K5" i="2" s="1"/>
  <c r="G5" i="2"/>
  <c r="H5" i="2"/>
  <c r="I5" i="2"/>
  <c r="J5" i="2"/>
  <c r="D3" i="2" a="1"/>
  <c r="D3" i="2" s="1"/>
  <c r="B12" i="3" l="1"/>
  <c r="B13" i="3"/>
  <c r="B15" i="3"/>
  <c r="K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<sst xmlns="http://schemas.openxmlformats.org/spreadsheetml/2006/main" count="70" uniqueCount="36">
  <si>
    <t>Job</t>
  </si>
  <si>
    <t>Salary</t>
  </si>
  <si>
    <t>Growth</t>
  </si>
  <si>
    <t>WLB</t>
  </si>
  <si>
    <t>Stability</t>
  </si>
  <si>
    <t>Skills</t>
  </si>
  <si>
    <t>Reputation</t>
  </si>
  <si>
    <t>SQL Data Analyst - Service Company</t>
  </si>
  <si>
    <t>Data Analyst - MNC</t>
  </si>
  <si>
    <t>Junior Data Analyst - Startup</t>
  </si>
  <si>
    <t>Weights</t>
  </si>
  <si>
    <t>Factor</t>
  </si>
  <si>
    <t>Weight</t>
  </si>
  <si>
    <t>Weighted Scores</t>
  </si>
  <si>
    <t>Total Score</t>
  </si>
  <si>
    <t>Ranking</t>
  </si>
  <si>
    <t>Rank</t>
  </si>
  <si>
    <t>Best Job</t>
  </si>
  <si>
    <t>Worst Job</t>
  </si>
  <si>
    <t>Top Score</t>
  </si>
  <si>
    <t>Score Gap</t>
  </si>
  <si>
    <t>Factor Contribution</t>
  </si>
  <si>
    <t>Job Offer Decision Analysis Dashboard</t>
  </si>
  <si>
    <t>Decision Confidence</t>
  </si>
  <si>
    <t>INSIGHTS:</t>
  </si>
  <si>
    <t>• SQL Data Analyst – Service Company ranks highest (Score: 99) driven by strong Skills (25), Salary (20), and Growth (20)</t>
  </si>
  <si>
    <t>• Data Analyst – MNC is a close second (Score: 95) with strong Stability and Salary but weaker Work-Life Balance and Growth</t>
  </si>
  <si>
    <t>• Junior Data Analyst – Startup ranks lowest (Score: 88) due to lower Stability and Salary despite better Work-Life Balance</t>
  </si>
  <si>
    <t>• Skills and Salary are the most influential factors in the final decision due to highest weights</t>
  </si>
  <si>
    <t>• Score gap between top and second option is small (4 points), indicating competitive alternatives</t>
  </si>
  <si>
    <t>RECOMMENDATIONS:</t>
  </si>
  <si>
    <t>• Choose SQL Data Analyst – Service Company as it offers the best balance of high-value factors (Skills, Salary, Growth)</t>
  </si>
  <si>
    <t>• Consider Data Analyst – MNC if stability and structured environment are higher priority</t>
  </si>
  <si>
    <t>• Avoid Junior Data Analyst – Startup unless preference is strong for Work-Life Balance and flexibility</t>
  </si>
  <si>
    <t>• Decision confidence is high, but close score gap suggests decision may vary with slight changes in priorities</t>
  </si>
  <si>
    <t>• Re-evaluate decision if weights shift (e.g., higher importance to WLB or Reputation)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</si>
</sst>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Arial Black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4" xfId="0" applyFont="1" applyBorder="1"/>
    <xf numFmtId="0" fontId="2" fillId="0" borderId="5" xfId="0" applyFont="1" applyBorder="1"/>
    <xf numFmtId="0" fontId="0" fillId="0" borderId="11" xfId="0" applyBorder="1"/>
    <xf numFmtId="0" fontId="2" fillId="0" borderId="1" xfId="0" applyFont="1" applyBorder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3" fillId="0" borderId="4" xfId="0" applyFont="1" applyBorder="1"/>
    <xf numFmtId="0" fontId="3" fillId="0" borderId="6" xfId="0" applyFont="1" applyBorder="1"/>
    <xf numFmtId="9" fontId="0" fillId="0" borderId="0" xfId="1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15" xfId="0" applyBorder="1"/>
    <xf numFmtId="9" fontId="0" fillId="0" borderId="16" xfId="1" applyFont="1" applyBorder="1"/>
    <xf numFmtId="9" fontId="0" fillId="0" borderId="17" xfId="1" applyFont="1" applyBorder="1"/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Job Offer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866-412A-841F-E301800B9F8A}"/>
              </c:ext>
            </c:extLst>
          </c:dPt>
          <c:cat>
            <c:strRef>
              <c:f>analysis!$D$5:$D$7</c:f>
              <c:strCache>
                <c:ptCount val="3"/>
                <c:pt idx="0">
                  <c:v>SQL Data Analyst - Service Company</c:v>
                </c:pt>
                <c:pt idx="1">
                  <c:v>Data Analyst - MNC</c:v>
                </c:pt>
                <c:pt idx="2">
                  <c:v>Junior Data Analyst - Startup</c:v>
                </c:pt>
              </c:strCache>
            </c:strRef>
          </c:cat>
          <c:val>
            <c:numRef>
              <c:f>analysis!$E$5:$E$7</c:f>
              <c:numCache>
                <c:formatCode>General</c:formatCode>
                <c:ptCount val="3"/>
                <c:pt idx="0">
                  <c:v>99</c:v>
                </c:pt>
                <c:pt idx="1">
                  <c:v>95</c:v>
                </c:pt>
                <c:pt idx="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6-412A-841F-E301800B9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24224"/>
        <c:axId val="211424704"/>
      </c:barChart>
      <c:catAx>
        <c:axId val="2114242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24704"/>
        <c:crosses val="autoZero"/>
        <c:auto val="1"/>
        <c:lblAlgn val="ctr"/>
        <c:lblOffset val="100"/>
        <c:noMultiLvlLbl val="0"/>
      </c:catAx>
      <c:valAx>
        <c:axId val="211424704"/>
        <c:scaling>
          <c:orientation val="minMax"/>
          <c:min val="0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2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Key Drivers</a:t>
            </a:r>
            <a:r>
              <a:rPr lang="en-IN" sz="1800" b="1" baseline="0"/>
              <a:t> Behind Top Job Selection</a:t>
            </a:r>
            <a:endParaRPr lang="en-IN" sz="1800" b="1"/>
          </a:p>
        </c:rich>
      </c:tx>
      <c:layout>
        <c:manualLayout>
          <c:xMode val="edge"/>
          <c:yMode val="edge"/>
          <c:x val="0.1629166666666666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SQL Data Analyst - Service Company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analysis!$A$11:$A$16</c:f>
              <c:strCache>
                <c:ptCount val="6"/>
                <c:pt idx="0">
                  <c:v>Skills</c:v>
                </c:pt>
                <c:pt idx="1">
                  <c:v>Salary</c:v>
                </c:pt>
                <c:pt idx="2">
                  <c:v>Growth</c:v>
                </c:pt>
                <c:pt idx="3">
                  <c:v>Stability</c:v>
                </c:pt>
                <c:pt idx="4">
                  <c:v>WLB</c:v>
                </c:pt>
                <c:pt idx="5">
                  <c:v>Reputation</c:v>
                </c:pt>
              </c:strCache>
            </c:strRef>
          </c:cat>
          <c:val>
            <c:numRef>
              <c:f>analysis!$B$11:$B$16</c:f>
              <c:numCache>
                <c:formatCode>General</c:formatCode>
                <c:ptCount val="6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16</c:v>
                </c:pt>
                <c:pt idx="4">
                  <c:v>9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5-4A9C-8F57-A29660B12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5244688"/>
        <c:axId val="815243248"/>
      </c:barChart>
      <c:catAx>
        <c:axId val="81524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243248"/>
        <c:crosses val="autoZero"/>
        <c:auto val="1"/>
        <c:lblAlgn val="ctr"/>
        <c:lblOffset val="100"/>
        <c:noMultiLvlLbl val="0"/>
      </c:catAx>
      <c:valAx>
        <c:axId val="81524324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24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2</xdr:row>
      <xdr:rowOff>3810</xdr:rowOff>
    </xdr:from>
    <xdr:to>
      <xdr:col>15</xdr:col>
      <xdr:colOff>15240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92DBE-93E5-E342-F8B5-2CB471F18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7</xdr:row>
      <xdr:rowOff>186690</xdr:rowOff>
    </xdr:from>
    <xdr:to>
      <xdr:col>6</xdr:col>
      <xdr:colOff>38100</xdr:colOff>
      <xdr:row>20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A2194C-EE7D-447D-2ABF-28F2DB056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E813-20AE-4C28-A3EA-B8B657CB1EB7}">
  <dimension ref="A1:G4"/>
  <sheetViews>
    <sheetView workbookViewId="0">
      <selection activeCell="A20" sqref="A20"/>
    </sheetView>
  </sheetViews>
  <sheetFormatPr defaultRowHeight="14.4" x14ac:dyDescent="0.3"/>
  <cols>
    <col min="1" max="1" width="3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</v>
      </c>
      <c r="C2">
        <v>5</v>
      </c>
      <c r="D2">
        <v>3</v>
      </c>
      <c r="E2">
        <v>4</v>
      </c>
      <c r="F2">
        <v>5</v>
      </c>
      <c r="G2">
        <v>3</v>
      </c>
    </row>
    <row r="3" spans="1:7" x14ac:dyDescent="0.3">
      <c r="A3" t="s">
        <v>8</v>
      </c>
      <c r="B3">
        <v>5</v>
      </c>
      <c r="C3">
        <v>3</v>
      </c>
      <c r="D3">
        <v>2</v>
      </c>
      <c r="E3">
        <v>5</v>
      </c>
      <c r="F3">
        <v>4</v>
      </c>
      <c r="G3">
        <v>4</v>
      </c>
    </row>
    <row r="4" spans="1:7" x14ac:dyDescent="0.3">
      <c r="A4" t="s">
        <v>9</v>
      </c>
      <c r="B4">
        <v>3</v>
      </c>
      <c r="C4">
        <v>4</v>
      </c>
      <c r="D4">
        <v>5</v>
      </c>
      <c r="E4">
        <v>3</v>
      </c>
      <c r="F4">
        <v>3</v>
      </c>
      <c r="G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ABDF-85E3-482E-86C4-35D730EAE535}">
  <dimension ref="A1:S13"/>
  <sheetViews>
    <sheetView zoomScale="102" zoomScaleNormal="102" workbookViewId="0">
      <selection activeCell="M10" sqref="M10"/>
    </sheetView>
  </sheetViews>
  <sheetFormatPr defaultRowHeight="14.4" x14ac:dyDescent="0.3"/>
  <cols>
    <col min="4" max="4" width="30.77734375" bestFit="1" customWidth="1"/>
    <col min="5" max="5" width="5.88671875" bestFit="1" customWidth="1"/>
    <col min="6" max="6" width="7.21875" bestFit="1" customWidth="1"/>
    <col min="7" max="7" width="4.77734375" bestFit="1" customWidth="1"/>
    <col min="8" max="8" width="7.44140625" bestFit="1" customWidth="1"/>
    <col min="9" max="9" width="4.88671875" bestFit="1" customWidth="1"/>
    <col min="10" max="10" width="10" bestFit="1" customWidth="1"/>
    <col min="11" max="11" width="10.21875" bestFit="1" customWidth="1"/>
    <col min="13" max="13" width="30.77734375" bestFit="1" customWidth="1"/>
    <col min="14" max="14" width="10.33203125" bestFit="1" customWidth="1"/>
    <col min="15" max="15" width="7.21875" bestFit="1" customWidth="1"/>
    <col min="16" max="16" width="4.77734375" bestFit="1" customWidth="1"/>
    <col min="17" max="17" width="7.77734375" bestFit="1" customWidth="1"/>
    <col min="18" max="18" width="5.109375" bestFit="1" customWidth="1"/>
    <col min="19" max="19" width="10.33203125" bestFit="1" customWidth="1"/>
  </cols>
  <sheetData>
    <row r="1" spans="1:19" ht="21" x14ac:dyDescent="0.35">
      <c r="A1" s="28" t="s">
        <v>10</v>
      </c>
      <c r="B1" s="29"/>
      <c r="D1" s="30" t="s">
        <v>13</v>
      </c>
      <c r="E1" s="31"/>
      <c r="F1" s="31"/>
      <c r="G1" s="31"/>
      <c r="H1" s="31"/>
      <c r="I1" s="31"/>
      <c r="J1" s="31"/>
      <c r="K1" s="32"/>
      <c r="M1" s="30" t="s">
        <v>15</v>
      </c>
      <c r="N1" s="31"/>
      <c r="O1" s="32"/>
    </row>
    <row r="2" spans="1:19" x14ac:dyDescent="0.3">
      <c r="A2" s="6" t="s">
        <v>11</v>
      </c>
      <c r="B2" s="7" t="s">
        <v>12</v>
      </c>
      <c r="D2" s="6" t="s">
        <v>0</v>
      </c>
      <c r="E2" s="9" t="s">
        <v>1</v>
      </c>
      <c r="F2" s="9" t="s">
        <v>2</v>
      </c>
      <c r="G2" s="9" t="s">
        <v>3</v>
      </c>
      <c r="H2" s="9" t="s">
        <v>4</v>
      </c>
      <c r="I2" s="9" t="s">
        <v>5</v>
      </c>
      <c r="J2" s="9" t="s">
        <v>6</v>
      </c>
      <c r="K2" s="7" t="s">
        <v>14</v>
      </c>
      <c r="M2" s="6" t="s">
        <v>0</v>
      </c>
      <c r="N2" s="9" t="s">
        <v>14</v>
      </c>
      <c r="O2" s="7" t="s">
        <v>16</v>
      </c>
    </row>
    <row r="3" spans="1:19" x14ac:dyDescent="0.3">
      <c r="A3" s="2" t="s">
        <v>1</v>
      </c>
      <c r="B3" s="3">
        <v>5</v>
      </c>
      <c r="D3" s="2" t="str" cm="1">
        <f t="array" ref="D3:D5">raw_data!A2:A4</f>
        <v>SQL Data Analyst - Service Company</v>
      </c>
      <c r="E3" s="1">
        <f>raw_data!B2*calculations!B$3</f>
        <v>20</v>
      </c>
      <c r="F3" s="1">
        <f>raw_data!C2*calculations!B$4</f>
        <v>20</v>
      </c>
      <c r="G3" s="1">
        <f>raw_data!D2*calculations!B$5</f>
        <v>9</v>
      </c>
      <c r="H3" s="1">
        <f>raw_data!E2*calculations!B$6</f>
        <v>16</v>
      </c>
      <c r="I3" s="1">
        <f>raw_data!F2*calculations!B$7</f>
        <v>25</v>
      </c>
      <c r="J3" s="1">
        <f>raw_data!G2*calculations!B$8</f>
        <v>9</v>
      </c>
      <c r="K3" s="3">
        <f>SUM(E3:J3)</f>
        <v>99</v>
      </c>
      <c r="M3" s="2" t="str" cm="1">
        <f t="array" ref="M3:M5">_xlfn.ANCHORARRAY(D3)</f>
        <v>SQL Data Analyst - Service Company</v>
      </c>
      <c r="N3" s="1" cm="1">
        <f t="array" ref="N3:N5">K3:K5</f>
        <v>99</v>
      </c>
      <c r="O3" s="3">
        <f>RANK(N3,_xlfn.ANCHORARRAY($N$3),0)</f>
        <v>1</v>
      </c>
    </row>
    <row r="4" spans="1:19" x14ac:dyDescent="0.3">
      <c r="A4" s="2" t="s">
        <v>2</v>
      </c>
      <c r="B4" s="3">
        <v>4</v>
      </c>
      <c r="D4" s="2" t="str">
        <v>Data Analyst - MNC</v>
      </c>
      <c r="E4" s="1">
        <f>raw_data!B3*calculations!B$3</f>
        <v>25</v>
      </c>
      <c r="F4" s="1">
        <f>raw_data!C3*calculations!B$4</f>
        <v>12</v>
      </c>
      <c r="G4" s="1">
        <f>raw_data!D3*calculations!B$5</f>
        <v>6</v>
      </c>
      <c r="H4" s="1">
        <f>raw_data!E3*calculations!B$6</f>
        <v>20</v>
      </c>
      <c r="I4" s="1">
        <f>raw_data!F3*calculations!B$7</f>
        <v>20</v>
      </c>
      <c r="J4" s="1">
        <f>raw_data!G3*calculations!B$8</f>
        <v>12</v>
      </c>
      <c r="K4" s="3">
        <f t="shared" ref="K4:K5" si="0">SUM(E4:J4)</f>
        <v>95</v>
      </c>
      <c r="M4" s="2" t="str">
        <v>Data Analyst - MNC</v>
      </c>
      <c r="N4" s="1">
        <v>95</v>
      </c>
      <c r="O4" s="3">
        <f t="shared" ref="O4:O5" si="1">RANK(N4,_xlfn.ANCHORARRAY($N$3),0)</f>
        <v>2</v>
      </c>
    </row>
    <row r="5" spans="1:19" ht="15" thickBot="1" x14ac:dyDescent="0.35">
      <c r="A5" s="2" t="s">
        <v>3</v>
      </c>
      <c r="B5" s="3">
        <v>3</v>
      </c>
      <c r="D5" s="4" t="str">
        <v>Junior Data Analyst - Startup</v>
      </c>
      <c r="E5" s="8">
        <f>raw_data!B4*calculations!B$3</f>
        <v>15</v>
      </c>
      <c r="F5" s="8">
        <f>raw_data!C4*calculations!B$4</f>
        <v>16</v>
      </c>
      <c r="G5" s="8">
        <f>raw_data!D4*calculations!B$5</f>
        <v>15</v>
      </c>
      <c r="H5" s="8">
        <f>raw_data!E4*calculations!B$6</f>
        <v>12</v>
      </c>
      <c r="I5" s="8">
        <f>raw_data!F4*calculations!B$7</f>
        <v>15</v>
      </c>
      <c r="J5" s="8">
        <f>raw_data!G4*calculations!B$8</f>
        <v>15</v>
      </c>
      <c r="K5" s="5">
        <f t="shared" si="0"/>
        <v>88</v>
      </c>
      <c r="M5" s="4" t="str">
        <v>Junior Data Analyst - Startup</v>
      </c>
      <c r="N5" s="8">
        <v>88</v>
      </c>
      <c r="O5" s="5">
        <f t="shared" si="1"/>
        <v>3</v>
      </c>
    </row>
    <row r="6" spans="1:19" x14ac:dyDescent="0.3">
      <c r="A6" s="2" t="s">
        <v>4</v>
      </c>
      <c r="B6" s="3">
        <v>4</v>
      </c>
    </row>
    <row r="7" spans="1:19" ht="15" thickBot="1" x14ac:dyDescent="0.35">
      <c r="A7" s="2" t="s">
        <v>5</v>
      </c>
      <c r="B7" s="3">
        <v>5</v>
      </c>
    </row>
    <row r="8" spans="1:19" ht="21.6" thickBot="1" x14ac:dyDescent="0.35">
      <c r="A8" s="4" t="s">
        <v>6</v>
      </c>
      <c r="B8" s="5">
        <v>3</v>
      </c>
      <c r="M8" s="30" t="s">
        <v>21</v>
      </c>
      <c r="N8" s="31"/>
      <c r="O8" s="31"/>
      <c r="P8" s="31"/>
      <c r="Q8" s="31"/>
      <c r="R8" s="31"/>
      <c r="S8" s="32"/>
    </row>
    <row r="9" spans="1:19" ht="21.6" thickBot="1" x14ac:dyDescent="0.35">
      <c r="D9" s="11" t="s">
        <v>17</v>
      </c>
      <c r="M9" s="15" t="s">
        <v>0</v>
      </c>
      <c r="N9" s="16" t="s">
        <v>1</v>
      </c>
      <c r="O9" s="16" t="s">
        <v>2</v>
      </c>
      <c r="P9" s="16" t="s">
        <v>3</v>
      </c>
      <c r="Q9" s="16" t="s">
        <v>4</v>
      </c>
      <c r="R9" s="16" t="s">
        <v>5</v>
      </c>
      <c r="S9" s="17" t="s">
        <v>6</v>
      </c>
    </row>
    <row r="10" spans="1:19" ht="15" thickBot="1" x14ac:dyDescent="0.35">
      <c r="D10" s="10" t="str">
        <f>INDEX(M3:M5,MATCH(MAX(N3:N5),N3:N5,0))</f>
        <v>SQL Data Analyst - Service Company</v>
      </c>
      <c r="M10" s="18" t="s">
        <v>7</v>
      </c>
      <c r="N10" s="19">
        <f>E3/$K3</f>
        <v>0.20202020202020202</v>
      </c>
      <c r="O10" s="19">
        <f t="shared" ref="O10:S10" si="2">F3/$K3</f>
        <v>0.20202020202020202</v>
      </c>
      <c r="P10" s="19">
        <f t="shared" si="2"/>
        <v>9.0909090909090912E-2</v>
      </c>
      <c r="Q10" s="19">
        <f t="shared" si="2"/>
        <v>0.16161616161616163</v>
      </c>
      <c r="R10" s="19">
        <f t="shared" si="2"/>
        <v>0.25252525252525254</v>
      </c>
      <c r="S10" s="20">
        <f t="shared" si="2"/>
        <v>9.0909090909090912E-2</v>
      </c>
    </row>
    <row r="11" spans="1:19" x14ac:dyDescent="0.3">
      <c r="N11" s="14"/>
      <c r="O11" s="14"/>
      <c r="P11" s="14"/>
      <c r="Q11" s="14"/>
      <c r="R11" s="14"/>
      <c r="S11" s="14"/>
    </row>
    <row r="12" spans="1:19" ht="20.399999999999999" customHeight="1" x14ac:dyDescent="0.3">
      <c r="D12" s="11" t="s">
        <v>18</v>
      </c>
      <c r="N12" s="14"/>
      <c r="O12" s="14"/>
      <c r="P12" s="14"/>
      <c r="Q12" s="14"/>
      <c r="R12" s="14"/>
      <c r="S12" s="14"/>
    </row>
    <row r="13" spans="1:19" x14ac:dyDescent="0.3">
      <c r="D13" s="10" t="str">
        <f>INDEX(M3:M5,MATCH(MIN(N3:N5),N3:N5,0))</f>
        <v>Junior Data Analyst - Startup</v>
      </c>
    </row>
  </sheetData>
  <mergeCells count="4">
    <mergeCell ref="A1:B1"/>
    <mergeCell ref="D1:K1"/>
    <mergeCell ref="M1:O1"/>
    <mergeCell ref="M8:S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BC5A-BA8C-4E13-AB7F-69EA4CEE9B99}">
  <dimension ref="A1:O44"/>
  <sheetViews>
    <sheetView showGridLines="0" tabSelected="1" zoomScale="60" zoomScaleNormal="60" workbookViewId="0">
      <selection activeCell="Q33" sqref="Q33"/>
    </sheetView>
  </sheetViews>
  <sheetFormatPr defaultRowHeight="14.4" x14ac:dyDescent="0.3"/>
  <cols>
    <col min="1" max="1" width="22.88671875" bestFit="1" customWidth="1"/>
    <col min="2" max="2" width="35.109375" bestFit="1" customWidth="1"/>
    <col min="4" max="4" width="30.77734375" bestFit="1" customWidth="1"/>
    <col min="5" max="5" width="10.21875" bestFit="1" customWidth="1"/>
    <col min="6" max="6" width="5" bestFit="1" customWidth="1"/>
  </cols>
  <sheetData>
    <row r="1" spans="1:15" x14ac:dyDescent="0.3">
      <c r="A1" s="26" t="s">
        <v>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15" thickBot="1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18" x14ac:dyDescent="0.3">
      <c r="A3" s="21" t="s">
        <v>17</v>
      </c>
      <c r="B3" s="22" t="str">
        <f>calculations!D10</f>
        <v>SQL Data Analyst - Service Company</v>
      </c>
      <c r="D3" s="23" t="s">
        <v>15</v>
      </c>
      <c r="E3" s="24"/>
      <c r="F3" s="25"/>
    </row>
    <row r="4" spans="1:15" ht="18" x14ac:dyDescent="0.3">
      <c r="A4" s="21" t="s">
        <v>18</v>
      </c>
      <c r="B4" s="22" t="str">
        <f>calculations!D13</f>
        <v>Junior Data Analyst - Startup</v>
      </c>
      <c r="D4" s="6" t="str" cm="1">
        <f t="array" ref="D4:F7">calculations!M2:O5</f>
        <v>Job</v>
      </c>
      <c r="E4" s="9" t="str">
        <v>Total Score</v>
      </c>
      <c r="F4" s="7" t="str">
        <v>Rank</v>
      </c>
    </row>
    <row r="5" spans="1:15" ht="18" x14ac:dyDescent="0.3">
      <c r="A5" s="21" t="s">
        <v>19</v>
      </c>
      <c r="B5" s="22">
        <f>MAX(calculations!N3:N5)</f>
        <v>99</v>
      </c>
      <c r="D5" s="2" t="str">
        <v>SQL Data Analyst - Service Company</v>
      </c>
      <c r="E5" s="1">
        <v>99</v>
      </c>
      <c r="F5" s="3">
        <v>1</v>
      </c>
    </row>
    <row r="6" spans="1:15" ht="18" x14ac:dyDescent="0.3">
      <c r="A6" s="21" t="s">
        <v>20</v>
      </c>
      <c r="B6" s="22">
        <f>MAX(calculations!N3:N5)-calculations!N4</f>
        <v>4</v>
      </c>
      <c r="D6" s="2" t="str">
        <v>Data Analyst - MNC</v>
      </c>
      <c r="E6" s="1">
        <v>95</v>
      </c>
      <c r="F6" s="3">
        <v>2</v>
      </c>
    </row>
    <row r="7" spans="1:15" ht="18.600000000000001" thickBot="1" x14ac:dyDescent="0.35">
      <c r="A7" s="21" t="s">
        <v>23</v>
      </c>
      <c r="B7" s="22" t="str">
        <f>IF(B6&gt;10,"High",IF(B6&gt;5,"Medium","Low"))</f>
        <v>Low</v>
      </c>
      <c r="D7" s="4" t="str">
        <v>Junior Data Analyst - Startup</v>
      </c>
      <c r="E7" s="8">
        <v>88</v>
      </c>
      <c r="F7" s="5">
        <v>3</v>
      </c>
    </row>
    <row r="8" spans="1:15" ht="15" thickBot="1" x14ac:dyDescent="0.35"/>
    <row r="9" spans="1:15" ht="18" x14ac:dyDescent="0.3">
      <c r="A9" s="23" t="s">
        <v>21</v>
      </c>
      <c r="B9" s="25"/>
    </row>
    <row r="10" spans="1:15" ht="15.6" x14ac:dyDescent="0.3">
      <c r="A10" s="12" t="s">
        <v>0</v>
      </c>
      <c r="B10" s="3" t="str">
        <f>INDEX(D5:D7,MATCH(MAX(E5:E7),E5:E7,0))</f>
        <v>SQL Data Analyst - Service Company</v>
      </c>
    </row>
    <row r="11" spans="1:15" ht="15.6" x14ac:dyDescent="0.3">
      <c r="A11" s="12" t="s">
        <v>5</v>
      </c>
      <c r="B11" s="3">
        <f>INDEX(calculations!I3:I5,MATCH(analysis!$B$10,calculations!D3:D5,0))</f>
        <v>25</v>
      </c>
    </row>
    <row r="12" spans="1:15" ht="15.6" x14ac:dyDescent="0.3">
      <c r="A12" s="12" t="s">
        <v>1</v>
      </c>
      <c r="B12" s="3">
        <f>INDEX(calculations!E3:E5,MATCH(analysis!$B$10,calculations!D3:D5,0))</f>
        <v>20</v>
      </c>
    </row>
    <row r="13" spans="1:15" ht="15.6" x14ac:dyDescent="0.3">
      <c r="A13" s="12" t="s">
        <v>2</v>
      </c>
      <c r="B13" s="3">
        <f>INDEX(calculations!F3:F5,MATCH(analysis!$B$10,calculations!D3:D5,0))</f>
        <v>20</v>
      </c>
    </row>
    <row r="14" spans="1:15" ht="15.6" x14ac:dyDescent="0.3">
      <c r="A14" s="12" t="s">
        <v>4</v>
      </c>
      <c r="B14" s="3">
        <f>INDEX(calculations!H3:H5,MATCH(analysis!$B$10,calculations!D3:D5,0))</f>
        <v>16</v>
      </c>
    </row>
    <row r="15" spans="1:15" ht="15.6" x14ac:dyDescent="0.3">
      <c r="A15" s="12" t="s">
        <v>3</v>
      </c>
      <c r="B15" s="3">
        <f>INDEX(calculations!G3:G5,MATCH(analysis!$B$10,calculations!D3:D5,0))</f>
        <v>9</v>
      </c>
    </row>
    <row r="16" spans="1:15" ht="16.2" thickBot="1" x14ac:dyDescent="0.35">
      <c r="A16" s="13" t="s">
        <v>6</v>
      </c>
      <c r="B16" s="5">
        <f>INDEX(calculations!J3:J5,MATCH(analysis!$B$10,calculations!D3:D5,0))</f>
        <v>9</v>
      </c>
    </row>
    <row r="22" spans="1:1" x14ac:dyDescent="0.3">
      <c r="A22" s="10" t="s">
        <v>24</v>
      </c>
    </row>
    <row r="24" spans="1:1" x14ac:dyDescent="0.3">
      <c r="A24" t="s">
        <v>25</v>
      </c>
    </row>
    <row r="26" spans="1:1" x14ac:dyDescent="0.3">
      <c r="A26" t="s">
        <v>26</v>
      </c>
    </row>
    <row r="28" spans="1:1" x14ac:dyDescent="0.3">
      <c r="A28" t="s">
        <v>27</v>
      </c>
    </row>
    <row r="30" spans="1:1" x14ac:dyDescent="0.3">
      <c r="A30" t="s">
        <v>28</v>
      </c>
    </row>
    <row r="32" spans="1:1" x14ac:dyDescent="0.3">
      <c r="A32" t="s">
        <v>29</v>
      </c>
    </row>
    <row r="34" spans="1:1" x14ac:dyDescent="0.3">
      <c r="A34" s="10" t="s">
        <v>30</v>
      </c>
    </row>
    <row r="36" spans="1:1" x14ac:dyDescent="0.3">
      <c r="A36" t="s">
        <v>31</v>
      </c>
    </row>
    <row r="38" spans="1:1" x14ac:dyDescent="0.3">
      <c r="A38" t="s">
        <v>32</v>
      </c>
    </row>
    <row r="40" spans="1:1" x14ac:dyDescent="0.3">
      <c r="A40" t="s">
        <v>33</v>
      </c>
    </row>
    <row r="42" spans="1:1" x14ac:dyDescent="0.3">
      <c r="A42" t="s">
        <v>34</v>
      </c>
    </row>
    <row r="44" spans="1:1" x14ac:dyDescent="0.3">
      <c r="A44" t="s">
        <v>35</v>
      </c>
    </row>
  </sheetData>
  <sortState xmlns:xlrd2="http://schemas.microsoft.com/office/spreadsheetml/2017/richdata2" ref="A11:B16">
    <sortCondition descending="1" ref="B11:B16"/>
  </sortState>
  <mergeCells count="3">
    <mergeCell ref="D3:F3"/>
    <mergeCell ref="A9:B9"/>
    <mergeCell ref="A1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calculations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Hussain</dc:creator>
  <cp:lastModifiedBy>Mohd Hussain</cp:lastModifiedBy>
  <dcterms:created xsi:type="dcterms:W3CDTF">2026-03-27T09:13:28Z</dcterms:created>
  <dcterms:modified xsi:type="dcterms:W3CDTF">2026-03-27T14:34:40Z</dcterms:modified>
</cp:coreProperties>
</file>