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d Hussain\OneDrive\Desktop\excel-data-analysis-portfolio\payroll-analysis\"/>
    </mc:Choice>
  </mc:AlternateContent>
  <xr:revisionPtr revIDLastSave="0" documentId="8_{61D2992E-265E-4093-82F6-02B35F8C9536}" xr6:coauthVersionLast="47" xr6:coauthVersionMax="47" xr10:uidLastSave="{00000000-0000-0000-0000-000000000000}"/>
  <bookViews>
    <workbookView xWindow="-108" yWindow="-108" windowWidth="23256" windowHeight="12456" xr2:uid="{99229277-1885-4A21-8774-E43A02F21281}"/>
  </bookViews>
  <sheets>
    <sheet name="raw_data" sheetId="2" r:id="rId1"/>
    <sheet name="calculations" sheetId="3" r:id="rId2"/>
    <sheet name="analysis" sheetId="4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4" i="4"/>
  <c r="C3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2" i="3"/>
  <c r="A2" i="3" a="1"/>
  <c r="A2" i="3" s="1"/>
  <c r="C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<sst xmlns="http://schemas.openxmlformats.org/spreadsheetml/2006/main" count="131" uniqueCount="35">
  <si>
    <t>Total Pay</t>
  </si>
  <si>
    <t>Overtime Hours</t>
  </si>
  <si>
    <t>Highest Paid Employee</t>
  </si>
  <si>
    <t>Total Overtime Cost</t>
  </si>
  <si>
    <t>employee_name</t>
  </si>
  <si>
    <t>week</t>
  </si>
  <si>
    <t>hourly_wage</t>
  </si>
  <si>
    <t>hours_worked</t>
  </si>
  <si>
    <t>overtime_hours</t>
  </si>
  <si>
    <t>base_pay</t>
  </si>
  <si>
    <t>overtime_bonus</t>
  </si>
  <si>
    <t>total_pay</t>
  </si>
  <si>
    <t>Samuel Rachene</t>
  </si>
  <si>
    <t>Week 1</t>
  </si>
  <si>
    <t>Week 2</t>
  </si>
  <si>
    <t>Week 3</t>
  </si>
  <si>
    <t>Week 4</t>
  </si>
  <si>
    <t>Eugena Esser</t>
  </si>
  <si>
    <t>Michel Averette</t>
  </si>
  <si>
    <t>Renetta Carew</t>
  </si>
  <si>
    <t>Cara Clarke</t>
  </si>
  <si>
    <t>Lavera Oles</t>
  </si>
  <si>
    <t>Elba Felder</t>
  </si>
  <si>
    <t>Shawanda Selke</t>
  </si>
  <si>
    <t>Sibyl Lauria</t>
  </si>
  <si>
    <t>Necole Victory</t>
  </si>
  <si>
    <t>Metric</t>
  </si>
  <si>
    <t>Value</t>
  </si>
  <si>
    <t>Total Payroll</t>
  </si>
  <si>
    <t>Average Pay</t>
  </si>
  <si>
    <t>Week</t>
  </si>
  <si>
    <t>Employee Name</t>
  </si>
  <si>
    <t>Employee with Highest Overtime Hours</t>
  </si>
  <si>
    <t>Highest Payroll Week</t>
  </si>
  <si>
    <t>PAYROLL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</si>
</sst>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4" fontId="4" fillId="5" borderId="3" xfId="0" applyNumberFormat="1" applyFont="1" applyFill="1" applyBorder="1" applyAlignment="1">
      <alignment horizontal="right" vertical="center"/>
    </xf>
    <xf numFmtId="164" fontId="4" fillId="6" borderId="3" xfId="0" applyNumberFormat="1" applyFont="1" applyFill="1" applyBorder="1" applyAlignment="1">
      <alignment horizontal="right" vertical="center"/>
    </xf>
    <xf numFmtId="164" fontId="4" fillId="3" borderId="3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1" xfId="0" applyNumberFormat="1" applyFont="1" applyBorder="1"/>
    <xf numFmtId="0" fontId="5" fillId="4" borderId="2" xfId="0" applyFont="1" applyFill="1" applyBorder="1" applyAlignment="1">
      <alignment horizontal="center" vertical="center"/>
    </xf>
    <xf numFmtId="0" fontId="5" fillId="0" borderId="1" xfId="0" pivotButton="1" applyFont="1" applyBorder="1"/>
    <xf numFmtId="0" fontId="5" fillId="0" borderId="1" xfId="0" applyFont="1" applyBorder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42"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[payroll_analysis.xlsx]analysis!Pay by Employee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Pay by Employee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analysis!$E$3:$E$12</c:f>
              <c:strCache>
                <c:ptCount val="10"/>
                <c:pt idx="0">
                  <c:v>Lavera Oles</c:v>
                </c:pt>
                <c:pt idx="1">
                  <c:v>Cara Clarke</c:v>
                </c:pt>
                <c:pt idx="2">
                  <c:v>Elba Felder</c:v>
                </c:pt>
                <c:pt idx="3">
                  <c:v>Necole Victory</c:v>
                </c:pt>
                <c:pt idx="4">
                  <c:v>Sibyl Lauria</c:v>
                </c:pt>
                <c:pt idx="5">
                  <c:v>Samuel Rachene</c:v>
                </c:pt>
                <c:pt idx="6">
                  <c:v>Shawanda Selke</c:v>
                </c:pt>
                <c:pt idx="7">
                  <c:v>Renetta Carew</c:v>
                </c:pt>
                <c:pt idx="8">
                  <c:v>Michel Averette</c:v>
                </c:pt>
                <c:pt idx="9">
                  <c:v>Eugena Esser</c:v>
                </c:pt>
              </c:strCache>
            </c:strRef>
          </c:cat>
          <c:val>
            <c:numRef>
              <c:f>analysis!$F$3:$F$12</c:f>
              <c:numCache>
                <c:formatCode>[$$-409]#,##0.00</c:formatCode>
                <c:ptCount val="10"/>
                <c:pt idx="0">
                  <c:v>5250</c:v>
                </c:pt>
                <c:pt idx="1">
                  <c:v>4975</c:v>
                </c:pt>
                <c:pt idx="2">
                  <c:v>4212</c:v>
                </c:pt>
                <c:pt idx="3">
                  <c:v>3864</c:v>
                </c:pt>
                <c:pt idx="4">
                  <c:v>3648</c:v>
                </c:pt>
                <c:pt idx="5">
                  <c:v>3575</c:v>
                </c:pt>
                <c:pt idx="6">
                  <c:v>3239.5</c:v>
                </c:pt>
                <c:pt idx="7">
                  <c:v>2920</c:v>
                </c:pt>
                <c:pt idx="8">
                  <c:v>2782.5</c:v>
                </c:pt>
                <c:pt idx="9">
                  <c:v>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9-451A-A5BD-1C226463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0497599"/>
        <c:axId val="1020494239"/>
      </c:barChart>
      <c:catAx>
        <c:axId val="102049759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494239"/>
        <c:crosses val="autoZero"/>
        <c:auto val="1"/>
        <c:lblAlgn val="ctr"/>
        <c:lblOffset val="100"/>
        <c:noMultiLvlLbl val="0"/>
      </c:catAx>
      <c:valAx>
        <c:axId val="10204942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49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[payroll_analysis.xlsx]analysis!Pay by Week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Weekly Payroll</a:t>
            </a:r>
            <a:r>
              <a:rPr lang="en-US" sz="2000" b="1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analysis!$B$11:$B$14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analysis!$C$11:$C$14</c:f>
              <c:numCache>
                <c:formatCode>[$$-409]#,##0.00</c:formatCode>
                <c:ptCount val="4"/>
                <c:pt idx="0">
                  <c:v>9160.5</c:v>
                </c:pt>
                <c:pt idx="1">
                  <c:v>9401.5</c:v>
                </c:pt>
                <c:pt idx="2">
                  <c:v>9164</c:v>
                </c:pt>
                <c:pt idx="3">
                  <c:v>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7-4DCC-968B-993DA4F9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776959"/>
        <c:axId val="242780319"/>
      </c:lineChart>
      <c:catAx>
        <c:axId val="242776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80319"/>
        <c:crosses val="autoZero"/>
        <c:auto val="1"/>
        <c:lblAlgn val="ctr"/>
        <c:lblOffset val="100"/>
        <c:noMultiLvlLbl val="0"/>
      </c:catAx>
      <c:valAx>
        <c:axId val="2427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7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103542</xdr:rowOff>
    </xdr:from>
    <xdr:to>
      <xdr:col>7</xdr:col>
      <xdr:colOff>0</xdr:colOff>
      <xdr:row>33</xdr:row>
      <xdr:rowOff>80682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48662-138B-2634-01C7-BF3F4CD39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144780</xdr:colOff>
      <xdr:row>13</xdr:row>
      <xdr:rowOff>11430</xdr:rowOff>
    </xdr:from>
    <xdr:to>
      <xdr:col>14</xdr:col>
      <xdr:colOff>15240</xdr:colOff>
      <xdr:row>31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218356-3318-FE2B-BA4E-D0E7747CF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Hussain" refreshedDate="46106.671560069444" createdVersion="8" refreshedVersion="8" minRefreshableVersion="3" recordCount="40" xr:uid="{6531AAED-D707-4C4C-B284-F41491EA3201}">
  <cacheSource type="worksheet">
    <worksheetSource ref="A1:H41" sheet="calculations"/>
  </cacheSource>
  <cacheFields count="8">
    <cacheField name="employee_name" numFmtId="0">
      <sharedItems count="10">
        <s v="Samuel Rachene"/>
        <s v="Eugena Esser"/>
        <s v="Michel Averette"/>
        <s v="Renetta Carew"/>
        <s v="Cara Clarke"/>
        <s v="Lavera Oles"/>
        <s v="Elba Felder"/>
        <s v="Shawanda Selke"/>
        <s v="Sibyl Lauria"/>
        <s v="Necole Victory"/>
      </sharedItems>
    </cacheField>
    <cacheField name="week" numFmtId="0">
      <sharedItems count="4">
        <s v="Week 1"/>
        <s v="Week 2"/>
        <s v="Week 3"/>
        <s v="Week 4"/>
      </sharedItems>
    </cacheField>
    <cacheField name="hourly_wage" numFmtId="164">
      <sharedItems containsSemiMixedTypes="0" containsString="0" containsNumber="1" containsInteger="1" minValue="15" maxValue="30"/>
    </cacheField>
    <cacheField name="hours_worked" numFmtId="0">
      <sharedItems containsSemiMixedTypes="0" containsString="0" containsNumber="1" containsInteger="1" minValue="35" maxValue="48"/>
    </cacheField>
    <cacheField name="overtime_hours" numFmtId="0">
      <sharedItems containsSemiMixedTypes="0" containsString="0" containsNumber="1" containsInteger="1" minValue="0" maxValue="8"/>
    </cacheField>
    <cacheField name="base_pay" numFmtId="164">
      <sharedItems containsSemiMixedTypes="0" containsString="0" containsNumber="1" containsInteger="1" minValue="630" maxValue="1320"/>
    </cacheField>
    <cacheField name="overtime_bonus" numFmtId="164">
      <sharedItems containsSemiMixedTypes="0" containsString="0" containsNumber="1" minValue="0" maxValue="100"/>
    </cacheField>
    <cacheField name="total_pay" numFmtId="164">
      <sharedItems containsSemiMixedTypes="0" containsString="0" containsNumber="1" minValue="645" maxValue="1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22"/>
    <n v="40"/>
    <n v="0"/>
    <n v="880"/>
    <n v="0"/>
    <n v="880"/>
  </r>
  <r>
    <x v="0"/>
    <x v="1"/>
    <n v="22"/>
    <n v="42"/>
    <n v="2"/>
    <n v="924"/>
    <n v="22"/>
    <n v="946"/>
  </r>
  <r>
    <x v="0"/>
    <x v="2"/>
    <n v="22"/>
    <n v="38"/>
    <n v="0"/>
    <n v="836"/>
    <n v="0"/>
    <n v="836"/>
  </r>
  <r>
    <x v="0"/>
    <x v="3"/>
    <n v="22"/>
    <n v="41"/>
    <n v="1"/>
    <n v="902"/>
    <n v="11"/>
    <n v="913"/>
  </r>
  <r>
    <x v="1"/>
    <x v="0"/>
    <n v="18"/>
    <n v="38"/>
    <n v="0"/>
    <n v="684"/>
    <n v="0"/>
    <n v="684"/>
  </r>
  <r>
    <x v="1"/>
    <x v="1"/>
    <n v="18"/>
    <n v="36"/>
    <n v="0"/>
    <n v="648"/>
    <n v="0"/>
    <n v="648"/>
  </r>
  <r>
    <x v="1"/>
    <x v="2"/>
    <n v="18"/>
    <n v="40"/>
    <n v="0"/>
    <n v="720"/>
    <n v="0"/>
    <n v="720"/>
  </r>
  <r>
    <x v="1"/>
    <x v="3"/>
    <n v="18"/>
    <n v="39"/>
    <n v="0"/>
    <n v="702"/>
    <n v="0"/>
    <n v="702"/>
  </r>
  <r>
    <x v="2"/>
    <x v="0"/>
    <n v="15"/>
    <n v="42"/>
    <n v="2"/>
    <n v="630"/>
    <n v="15"/>
    <n v="645"/>
  </r>
  <r>
    <x v="2"/>
    <x v="1"/>
    <n v="15"/>
    <n v="45"/>
    <n v="5"/>
    <n v="675"/>
    <n v="37.5"/>
    <n v="712.5"/>
  </r>
  <r>
    <x v="2"/>
    <x v="2"/>
    <n v="15"/>
    <n v="44"/>
    <n v="4"/>
    <n v="660"/>
    <n v="30"/>
    <n v="690"/>
  </r>
  <r>
    <x v="2"/>
    <x v="3"/>
    <n v="15"/>
    <n v="46"/>
    <n v="6"/>
    <n v="690"/>
    <n v="45"/>
    <n v="735"/>
  </r>
  <r>
    <x v="3"/>
    <x v="0"/>
    <n v="20"/>
    <n v="36"/>
    <n v="0"/>
    <n v="720"/>
    <n v="0"/>
    <n v="720"/>
  </r>
  <r>
    <x v="3"/>
    <x v="1"/>
    <n v="20"/>
    <n v="38"/>
    <n v="0"/>
    <n v="760"/>
    <n v="0"/>
    <n v="760"/>
  </r>
  <r>
    <x v="3"/>
    <x v="2"/>
    <n v="20"/>
    <n v="35"/>
    <n v="0"/>
    <n v="700"/>
    <n v="0"/>
    <n v="700"/>
  </r>
  <r>
    <x v="3"/>
    <x v="3"/>
    <n v="20"/>
    <n v="37"/>
    <n v="0"/>
    <n v="740"/>
    <n v="0"/>
    <n v="740"/>
  </r>
  <r>
    <x v="4"/>
    <x v="0"/>
    <n v="25"/>
    <n v="45"/>
    <n v="5"/>
    <n v="1125"/>
    <n v="62.5"/>
    <n v="1187.5"/>
  </r>
  <r>
    <x v="4"/>
    <x v="1"/>
    <n v="25"/>
    <n v="47"/>
    <n v="7"/>
    <n v="1175"/>
    <n v="87.5"/>
    <n v="1262.5"/>
  </r>
  <r>
    <x v="4"/>
    <x v="2"/>
    <n v="25"/>
    <n v="46"/>
    <n v="6"/>
    <n v="1150"/>
    <n v="75"/>
    <n v="1225"/>
  </r>
  <r>
    <x v="4"/>
    <x v="3"/>
    <n v="25"/>
    <n v="48"/>
    <n v="8"/>
    <n v="1200"/>
    <n v="100"/>
    <n v="1300"/>
  </r>
  <r>
    <x v="5"/>
    <x v="0"/>
    <n v="30"/>
    <n v="44"/>
    <n v="4"/>
    <n v="1320"/>
    <n v="60"/>
    <n v="1380"/>
  </r>
  <r>
    <x v="5"/>
    <x v="1"/>
    <n v="30"/>
    <n v="41"/>
    <n v="1"/>
    <n v="1230"/>
    <n v="15"/>
    <n v="1245"/>
  </r>
  <r>
    <x v="5"/>
    <x v="2"/>
    <n v="30"/>
    <n v="42"/>
    <n v="2"/>
    <n v="1260"/>
    <n v="30"/>
    <n v="1290"/>
  </r>
  <r>
    <x v="5"/>
    <x v="3"/>
    <n v="30"/>
    <n v="43"/>
    <n v="3"/>
    <n v="1290"/>
    <n v="45"/>
    <n v="1335"/>
  </r>
  <r>
    <x v="6"/>
    <x v="0"/>
    <n v="27"/>
    <n v="39"/>
    <n v="0"/>
    <n v="1053"/>
    <n v="0"/>
    <n v="1053"/>
  </r>
  <r>
    <x v="6"/>
    <x v="1"/>
    <n v="27"/>
    <n v="40"/>
    <n v="0"/>
    <n v="1080"/>
    <n v="0"/>
    <n v="1080"/>
  </r>
  <r>
    <x v="6"/>
    <x v="2"/>
    <n v="27"/>
    <n v="39"/>
    <n v="0"/>
    <n v="1053"/>
    <n v="0"/>
    <n v="1053"/>
  </r>
  <r>
    <x v="6"/>
    <x v="3"/>
    <n v="27"/>
    <n v="38"/>
    <n v="0"/>
    <n v="1026"/>
    <n v="0"/>
    <n v="1026"/>
  </r>
  <r>
    <x v="7"/>
    <x v="0"/>
    <n v="19"/>
    <n v="41"/>
    <n v="1"/>
    <n v="779"/>
    <n v="9.5"/>
    <n v="788.5"/>
  </r>
  <r>
    <x v="7"/>
    <x v="1"/>
    <n v="19"/>
    <n v="43"/>
    <n v="3"/>
    <n v="817"/>
    <n v="28.5"/>
    <n v="845.5"/>
  </r>
  <r>
    <x v="7"/>
    <x v="2"/>
    <n v="19"/>
    <n v="41"/>
    <n v="1"/>
    <n v="779"/>
    <n v="9.5"/>
    <n v="788.5"/>
  </r>
  <r>
    <x v="7"/>
    <x v="3"/>
    <n v="19"/>
    <n v="42"/>
    <n v="2"/>
    <n v="798"/>
    <n v="19"/>
    <n v="817"/>
  </r>
  <r>
    <x v="8"/>
    <x v="0"/>
    <n v="24"/>
    <n v="37"/>
    <n v="0"/>
    <n v="888"/>
    <n v="0"/>
    <n v="888"/>
  </r>
  <r>
    <x v="8"/>
    <x v="1"/>
    <n v="24"/>
    <n v="39"/>
    <n v="0"/>
    <n v="936"/>
    <n v="0"/>
    <n v="936"/>
  </r>
  <r>
    <x v="8"/>
    <x v="2"/>
    <n v="24"/>
    <n v="36"/>
    <n v="0"/>
    <n v="864"/>
    <n v="0"/>
    <n v="864"/>
  </r>
  <r>
    <x v="8"/>
    <x v="3"/>
    <n v="24"/>
    <n v="40"/>
    <n v="0"/>
    <n v="960"/>
    <n v="0"/>
    <n v="960"/>
  </r>
  <r>
    <x v="9"/>
    <x v="0"/>
    <n v="21"/>
    <n v="43"/>
    <n v="3"/>
    <n v="903"/>
    <n v="31.5"/>
    <n v="934.5"/>
  </r>
  <r>
    <x v="9"/>
    <x v="1"/>
    <n v="21"/>
    <n v="44"/>
    <n v="4"/>
    <n v="924"/>
    <n v="42"/>
    <n v="966"/>
  </r>
  <r>
    <x v="9"/>
    <x v="2"/>
    <n v="21"/>
    <n v="45"/>
    <n v="5"/>
    <n v="945"/>
    <n v="52.5"/>
    <n v="997.5"/>
  </r>
  <r>
    <x v="9"/>
    <x v="3"/>
    <n v="21"/>
    <n v="44"/>
    <n v="4"/>
    <n v="924"/>
    <n v="42"/>
    <n v="9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58BE5-1351-45A6-8259-A742B9188162}" name="Overtime by Employee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Employee Name">
  <location ref="H2:I12" firstHeaderRow="1" firstDataRow="1" firstDataCol="1"/>
  <pivotFields count="8">
    <pivotField axis="axisRow" showAll="0" sortType="descending">
      <items count="11">
        <item x="4"/>
        <item x="6"/>
        <item x="1"/>
        <item x="5"/>
        <item x="2"/>
        <item x="9"/>
        <item x="3"/>
        <item x="0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showAll="0"/>
    <pivotField numFmtId="164" showAll="0"/>
    <pivotField numFmtId="164" showAll="0"/>
    <pivotField numFmtId="164" showAll="0"/>
  </pivotFields>
  <rowFields count="1">
    <field x="0"/>
  </rowFields>
  <rowItems count="10">
    <i>
      <x/>
    </i>
    <i>
      <x v="4"/>
    </i>
    <i>
      <x v="5"/>
    </i>
    <i>
      <x v="3"/>
    </i>
    <i>
      <x v="8"/>
    </i>
    <i>
      <x v="7"/>
    </i>
    <i>
      <x v="1"/>
    </i>
    <i>
      <x v="9"/>
    </i>
    <i>
      <x v="2"/>
    </i>
    <i>
      <x v="6"/>
    </i>
  </rowItems>
  <colItems count="1">
    <i/>
  </colItems>
  <dataFields count="1">
    <dataField name="Overtime Hours" fld="4" baseField="0" baseItem="0"/>
  </dataFields>
  <formats count="14">
    <format dxfId="37">
      <pivotArea field="0" type="button" dataOnly="0" labelOnly="1" outline="0" axis="axisRow" fieldPosition="0"/>
    </format>
    <format dxfId="36">
      <pivotArea dataOnly="0" labelOnly="1" outline="0" axis="axisValues" fieldPosition="0"/>
    </format>
    <format dxfId="35">
      <pivotArea field="0" type="button" dataOnly="0" labelOnly="1" outline="0" axis="axisRow" fieldPosition="0"/>
    </format>
    <format dxfId="34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outline="0" axis="axisValues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0" count="0"/>
        </references>
      </pivotArea>
    </format>
    <format dxfId="8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D47FD-A887-417B-9678-BB847BB24E5C}" name="Pay by Week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Week">
  <location ref="B10:C14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Pay" fld="7" baseField="1" baseItem="0" numFmtId="164"/>
  </dataFields>
  <formats count="14">
    <format dxfId="33">
      <pivotArea field="1" type="button" dataOnly="0" labelOnly="1" outline="0" axis="axisRow" fieldPosition="0"/>
    </format>
    <format dxfId="32">
      <pivotArea dataOnly="0" labelOnly="1" outline="0" axis="axisValues" fieldPosition="0"/>
    </format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1" count="0"/>
        </references>
      </pivotArea>
    </format>
    <format dxfId="7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14217-3274-4B4F-A4AD-00EF2602E3C4}" name="Pay by Employee" cacheId="1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Employee Name">
  <location ref="E2:F12" firstHeaderRow="1" firstDataRow="1" firstDataCol="1"/>
  <pivotFields count="8">
    <pivotField axis="axisRow" showAll="0" sortType="descending">
      <items count="11">
        <item x="4"/>
        <item x="6"/>
        <item x="1"/>
        <item x="5"/>
        <item x="2"/>
        <item x="9"/>
        <item x="3"/>
        <item x="0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0"/>
  </rowFields>
  <rowItems count="10">
    <i>
      <x v="3"/>
    </i>
    <i>
      <x/>
    </i>
    <i>
      <x v="1"/>
    </i>
    <i>
      <x v="5"/>
    </i>
    <i>
      <x v="9"/>
    </i>
    <i>
      <x v="7"/>
    </i>
    <i>
      <x v="8"/>
    </i>
    <i>
      <x v="6"/>
    </i>
    <i>
      <x v="4"/>
    </i>
    <i>
      <x v="2"/>
    </i>
  </rowItems>
  <colItems count="1">
    <i/>
  </colItems>
  <dataFields count="1">
    <dataField name="Total Pay" fld="7" baseField="0" baseItem="3" numFmtId="164"/>
  </dataFields>
  <formats count="14">
    <format dxfId="41">
      <pivotArea field="0" type="button" dataOnly="0" labelOnly="1" outline="0" axis="axisRow" fieldPosition="0"/>
    </format>
    <format dxfId="40">
      <pivotArea dataOnly="0" labelOnly="1" outline="0" axis="axisValues" fieldPosition="0"/>
    </format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outline="0" axis="axisValues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0" count="0"/>
        </references>
      </pivotArea>
    </format>
    <format dxfId="6">
      <pivotArea outline="0" collapsedLevelsAreSubtotals="1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C5856D-6F94-4829-955E-AE41E1D06C73}" name="Table2" displayName="Table2" ref="A1:D41" totalsRowShown="0">
  <autoFilter ref="A1:D41" xr:uid="{BCC5856D-6F94-4829-955E-AE41E1D06C73}"/>
  <tableColumns count="4">
    <tableColumn id="1" xr3:uid="{F6403F88-0F9D-4C95-BE9A-1A07A334D1D2}" name="employee_name"/>
    <tableColumn id="2" xr3:uid="{2752FE7E-44B2-4532-B5AC-EEBCE7908DFA}" name="week"/>
    <tableColumn id="3" xr3:uid="{7E106072-C792-4ADF-A651-2F1C267D06EF}" name="hourly_wage"/>
    <tableColumn id="4" xr3:uid="{776BCAEF-12A5-4473-A81C-546FFF1885F0}" name="hours_wor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D20F-42BB-4566-807E-94A99FC98715}">
  <dimension ref="A1:D41"/>
  <sheetViews>
    <sheetView tabSelected="1" zoomScale="68" zoomScaleNormal="68" workbookViewId="0">
      <selection activeCell="K27" sqref="K27"/>
    </sheetView>
  </sheetViews>
  <sheetFormatPr defaultRowHeight="14.4" x14ac:dyDescent="0.3"/>
  <cols>
    <col min="1" max="1" width="43.21875" bestFit="1" customWidth="1"/>
    <col min="3" max="3" width="13.77734375" customWidth="1"/>
    <col min="4" max="4" width="1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12</v>
      </c>
      <c r="B2" t="s">
        <v>13</v>
      </c>
      <c r="C2">
        <v>22</v>
      </c>
      <c r="D2">
        <v>40</v>
      </c>
    </row>
    <row r="3" spans="1:4" x14ac:dyDescent="0.3">
      <c r="A3" t="s">
        <v>12</v>
      </c>
      <c r="B3" t="s">
        <v>14</v>
      </c>
      <c r="C3">
        <v>22</v>
      </c>
      <c r="D3">
        <v>42</v>
      </c>
    </row>
    <row r="4" spans="1:4" x14ac:dyDescent="0.3">
      <c r="A4" t="s">
        <v>12</v>
      </c>
      <c r="B4" t="s">
        <v>15</v>
      </c>
      <c r="C4">
        <v>22</v>
      </c>
      <c r="D4">
        <v>38</v>
      </c>
    </row>
    <row r="5" spans="1:4" x14ac:dyDescent="0.3">
      <c r="A5" t="s">
        <v>12</v>
      </c>
      <c r="B5" t="s">
        <v>16</v>
      </c>
      <c r="C5">
        <v>22</v>
      </c>
      <c r="D5">
        <v>41</v>
      </c>
    </row>
    <row r="6" spans="1:4" x14ac:dyDescent="0.3">
      <c r="A6" t="s">
        <v>17</v>
      </c>
      <c r="B6" t="s">
        <v>13</v>
      </c>
      <c r="C6">
        <v>18</v>
      </c>
      <c r="D6">
        <v>38</v>
      </c>
    </row>
    <row r="7" spans="1:4" x14ac:dyDescent="0.3">
      <c r="A7" t="s">
        <v>17</v>
      </c>
      <c r="B7" t="s">
        <v>14</v>
      </c>
      <c r="C7">
        <v>18</v>
      </c>
      <c r="D7">
        <v>36</v>
      </c>
    </row>
    <row r="8" spans="1:4" x14ac:dyDescent="0.3">
      <c r="A8" t="s">
        <v>17</v>
      </c>
      <c r="B8" t="s">
        <v>15</v>
      </c>
      <c r="C8">
        <v>18</v>
      </c>
      <c r="D8">
        <v>40</v>
      </c>
    </row>
    <row r="9" spans="1:4" x14ac:dyDescent="0.3">
      <c r="A9" t="s">
        <v>17</v>
      </c>
      <c r="B9" t="s">
        <v>16</v>
      </c>
      <c r="C9">
        <v>18</v>
      </c>
      <c r="D9">
        <v>39</v>
      </c>
    </row>
    <row r="10" spans="1:4" x14ac:dyDescent="0.3">
      <c r="A10" t="s">
        <v>18</v>
      </c>
      <c r="B10" t="s">
        <v>13</v>
      </c>
      <c r="C10">
        <v>15</v>
      </c>
      <c r="D10">
        <v>42</v>
      </c>
    </row>
    <row r="11" spans="1:4" x14ac:dyDescent="0.3">
      <c r="A11" t="s">
        <v>18</v>
      </c>
      <c r="B11" t="s">
        <v>14</v>
      </c>
      <c r="C11">
        <v>15</v>
      </c>
      <c r="D11">
        <v>45</v>
      </c>
    </row>
    <row r="12" spans="1:4" x14ac:dyDescent="0.3">
      <c r="A12" t="s">
        <v>18</v>
      </c>
      <c r="B12" t="s">
        <v>15</v>
      </c>
      <c r="C12">
        <v>15</v>
      </c>
      <c r="D12">
        <v>44</v>
      </c>
    </row>
    <row r="13" spans="1:4" x14ac:dyDescent="0.3">
      <c r="A13" t="s">
        <v>18</v>
      </c>
      <c r="B13" t="s">
        <v>16</v>
      </c>
      <c r="C13">
        <v>15</v>
      </c>
      <c r="D13">
        <v>46</v>
      </c>
    </row>
    <row r="14" spans="1:4" x14ac:dyDescent="0.3">
      <c r="A14" t="s">
        <v>19</v>
      </c>
      <c r="B14" t="s">
        <v>13</v>
      </c>
      <c r="C14">
        <v>20</v>
      </c>
      <c r="D14">
        <v>36</v>
      </c>
    </row>
    <row r="15" spans="1:4" x14ac:dyDescent="0.3">
      <c r="A15" t="s">
        <v>19</v>
      </c>
      <c r="B15" t="s">
        <v>14</v>
      </c>
      <c r="C15">
        <v>20</v>
      </c>
      <c r="D15">
        <v>38</v>
      </c>
    </row>
    <row r="16" spans="1:4" x14ac:dyDescent="0.3">
      <c r="A16" t="s">
        <v>19</v>
      </c>
      <c r="B16" t="s">
        <v>15</v>
      </c>
      <c r="C16">
        <v>20</v>
      </c>
      <c r="D16">
        <v>35</v>
      </c>
    </row>
    <row r="17" spans="1:4" x14ac:dyDescent="0.3">
      <c r="A17" t="s">
        <v>19</v>
      </c>
      <c r="B17" t="s">
        <v>16</v>
      </c>
      <c r="C17">
        <v>20</v>
      </c>
      <c r="D17">
        <v>37</v>
      </c>
    </row>
    <row r="18" spans="1:4" x14ac:dyDescent="0.3">
      <c r="A18" t="s">
        <v>20</v>
      </c>
      <c r="B18" t="s">
        <v>13</v>
      </c>
      <c r="C18">
        <v>25</v>
      </c>
      <c r="D18">
        <v>45</v>
      </c>
    </row>
    <row r="19" spans="1:4" x14ac:dyDescent="0.3">
      <c r="A19" t="s">
        <v>20</v>
      </c>
      <c r="B19" t="s">
        <v>14</v>
      </c>
      <c r="C19">
        <v>25</v>
      </c>
      <c r="D19">
        <v>47</v>
      </c>
    </row>
    <row r="20" spans="1:4" x14ac:dyDescent="0.3">
      <c r="A20" t="s">
        <v>20</v>
      </c>
      <c r="B20" t="s">
        <v>15</v>
      </c>
      <c r="C20">
        <v>25</v>
      </c>
      <c r="D20">
        <v>46</v>
      </c>
    </row>
    <row r="21" spans="1:4" x14ac:dyDescent="0.3">
      <c r="A21" t="s">
        <v>20</v>
      </c>
      <c r="B21" t="s">
        <v>16</v>
      </c>
      <c r="C21">
        <v>25</v>
      </c>
      <c r="D21">
        <v>48</v>
      </c>
    </row>
    <row r="22" spans="1:4" x14ac:dyDescent="0.3">
      <c r="A22" t="s">
        <v>21</v>
      </c>
      <c r="B22" t="s">
        <v>13</v>
      </c>
      <c r="C22">
        <v>30</v>
      </c>
      <c r="D22">
        <v>44</v>
      </c>
    </row>
    <row r="23" spans="1:4" x14ac:dyDescent="0.3">
      <c r="A23" t="s">
        <v>21</v>
      </c>
      <c r="B23" t="s">
        <v>14</v>
      </c>
      <c r="C23">
        <v>30</v>
      </c>
      <c r="D23">
        <v>41</v>
      </c>
    </row>
    <row r="24" spans="1:4" x14ac:dyDescent="0.3">
      <c r="A24" t="s">
        <v>21</v>
      </c>
      <c r="B24" t="s">
        <v>15</v>
      </c>
      <c r="C24">
        <v>30</v>
      </c>
      <c r="D24">
        <v>42</v>
      </c>
    </row>
    <row r="25" spans="1:4" x14ac:dyDescent="0.3">
      <c r="A25" t="s">
        <v>21</v>
      </c>
      <c r="B25" t="s">
        <v>16</v>
      </c>
      <c r="C25">
        <v>30</v>
      </c>
      <c r="D25">
        <v>43</v>
      </c>
    </row>
    <row r="26" spans="1:4" x14ac:dyDescent="0.3">
      <c r="A26" t="s">
        <v>22</v>
      </c>
      <c r="B26" t="s">
        <v>13</v>
      </c>
      <c r="C26">
        <v>27</v>
      </c>
      <c r="D26">
        <v>39</v>
      </c>
    </row>
    <row r="27" spans="1:4" x14ac:dyDescent="0.3">
      <c r="A27" t="s">
        <v>22</v>
      </c>
      <c r="B27" t="s">
        <v>14</v>
      </c>
      <c r="C27">
        <v>27</v>
      </c>
      <c r="D27">
        <v>40</v>
      </c>
    </row>
    <row r="28" spans="1:4" x14ac:dyDescent="0.3">
      <c r="A28" t="s">
        <v>22</v>
      </c>
      <c r="B28" t="s">
        <v>15</v>
      </c>
      <c r="C28">
        <v>27</v>
      </c>
      <c r="D28">
        <v>39</v>
      </c>
    </row>
    <row r="29" spans="1:4" x14ac:dyDescent="0.3">
      <c r="A29" t="s">
        <v>22</v>
      </c>
      <c r="B29" t="s">
        <v>16</v>
      </c>
      <c r="C29">
        <v>27</v>
      </c>
      <c r="D29">
        <v>38</v>
      </c>
    </row>
    <row r="30" spans="1:4" x14ac:dyDescent="0.3">
      <c r="A30" t="s">
        <v>23</v>
      </c>
      <c r="B30" t="s">
        <v>13</v>
      </c>
      <c r="C30">
        <v>19</v>
      </c>
      <c r="D30">
        <v>41</v>
      </c>
    </row>
    <row r="31" spans="1:4" x14ac:dyDescent="0.3">
      <c r="A31" t="s">
        <v>23</v>
      </c>
      <c r="B31" t="s">
        <v>14</v>
      </c>
      <c r="C31">
        <v>19</v>
      </c>
      <c r="D31">
        <v>43</v>
      </c>
    </row>
    <row r="32" spans="1:4" x14ac:dyDescent="0.3">
      <c r="A32" t="s">
        <v>23</v>
      </c>
      <c r="B32" t="s">
        <v>15</v>
      </c>
      <c r="C32">
        <v>19</v>
      </c>
      <c r="D32">
        <v>41</v>
      </c>
    </row>
    <row r="33" spans="1:4" x14ac:dyDescent="0.3">
      <c r="A33" t="s">
        <v>23</v>
      </c>
      <c r="B33" t="s">
        <v>16</v>
      </c>
      <c r="C33">
        <v>19</v>
      </c>
      <c r="D33">
        <v>42</v>
      </c>
    </row>
    <row r="34" spans="1:4" x14ac:dyDescent="0.3">
      <c r="A34" t="s">
        <v>24</v>
      </c>
      <c r="B34" t="s">
        <v>13</v>
      </c>
      <c r="C34">
        <v>24</v>
      </c>
      <c r="D34">
        <v>37</v>
      </c>
    </row>
    <row r="35" spans="1:4" x14ac:dyDescent="0.3">
      <c r="A35" t="s">
        <v>24</v>
      </c>
      <c r="B35" t="s">
        <v>14</v>
      </c>
      <c r="C35">
        <v>24</v>
      </c>
      <c r="D35">
        <v>39</v>
      </c>
    </row>
    <row r="36" spans="1:4" x14ac:dyDescent="0.3">
      <c r="A36" t="s">
        <v>24</v>
      </c>
      <c r="B36" t="s">
        <v>15</v>
      </c>
      <c r="C36">
        <v>24</v>
      </c>
      <c r="D36">
        <v>36</v>
      </c>
    </row>
    <row r="37" spans="1:4" x14ac:dyDescent="0.3">
      <c r="A37" t="s">
        <v>24</v>
      </c>
      <c r="B37" t="s">
        <v>16</v>
      </c>
      <c r="C37">
        <v>24</v>
      </c>
      <c r="D37">
        <v>40</v>
      </c>
    </row>
    <row r="38" spans="1:4" x14ac:dyDescent="0.3">
      <c r="A38" t="s">
        <v>25</v>
      </c>
      <c r="B38" t="s">
        <v>13</v>
      </c>
      <c r="C38">
        <v>21</v>
      </c>
      <c r="D38">
        <v>43</v>
      </c>
    </row>
    <row r="39" spans="1:4" x14ac:dyDescent="0.3">
      <c r="A39" t="s">
        <v>25</v>
      </c>
      <c r="B39" t="s">
        <v>14</v>
      </c>
      <c r="C39">
        <v>21</v>
      </c>
      <c r="D39">
        <v>44</v>
      </c>
    </row>
    <row r="40" spans="1:4" x14ac:dyDescent="0.3">
      <c r="A40" t="s">
        <v>25</v>
      </c>
      <c r="B40" t="s">
        <v>15</v>
      </c>
      <c r="C40">
        <v>21</v>
      </c>
      <c r="D40">
        <v>45</v>
      </c>
    </row>
    <row r="41" spans="1:4" x14ac:dyDescent="0.3">
      <c r="A41" t="s">
        <v>25</v>
      </c>
      <c r="B41" t="s">
        <v>16</v>
      </c>
      <c r="C41">
        <v>21</v>
      </c>
      <c r="D41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7B17-E1D9-4BE6-97B8-47A42D9E07D5}">
  <dimension ref="A1:H42"/>
  <sheetViews>
    <sheetView zoomScale="68" zoomScaleNormal="68" workbookViewId="0">
      <selection activeCell="H42" sqref="H42"/>
    </sheetView>
  </sheetViews>
  <sheetFormatPr defaultRowHeight="14.4" x14ac:dyDescent="0.3"/>
  <cols>
    <col min="1" max="1" width="15.77734375" bestFit="1" customWidth="1"/>
    <col min="2" max="2" width="7.6640625" bestFit="1" customWidth="1"/>
    <col min="3" max="3" width="12.5546875" bestFit="1" customWidth="1"/>
    <col min="4" max="4" width="13.88671875" bestFit="1" customWidth="1"/>
    <col min="5" max="5" width="15.33203125" bestFit="1" customWidth="1"/>
    <col min="6" max="6" width="10.109375" bestFit="1" customWidth="1"/>
    <col min="7" max="7" width="15.6640625" bestFit="1" customWidth="1"/>
    <col min="8" max="8" width="10.109375" bestFit="1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tr" cm="1">
        <f t="array" ref="A2:D41">Table2[]</f>
        <v>Samuel Rachene</v>
      </c>
      <c r="B2" t="str">
        <v>Week 1</v>
      </c>
      <c r="C2" s="1">
        <v>22</v>
      </c>
      <c r="D2">
        <v>40</v>
      </c>
      <c r="E2">
        <f>IF(D2&gt;40,D2-40,0)</f>
        <v>0</v>
      </c>
      <c r="F2" s="1">
        <f>C2*D2</f>
        <v>880</v>
      </c>
      <c r="G2" s="1">
        <f>0.5*C2*E2</f>
        <v>0</v>
      </c>
      <c r="H2" s="1">
        <f>F2+G2</f>
        <v>880</v>
      </c>
    </row>
    <row r="3" spans="1:8" x14ac:dyDescent="0.3">
      <c r="A3" t="str">
        <v>Samuel Rachene</v>
      </c>
      <c r="B3" t="str">
        <v>Week 2</v>
      </c>
      <c r="C3" s="1">
        <v>22</v>
      </c>
      <c r="D3">
        <v>42</v>
      </c>
      <c r="E3">
        <f t="shared" ref="E3:E41" si="0">IF(D3&gt;40,D3-40,0)</f>
        <v>2</v>
      </c>
      <c r="F3" s="1">
        <f t="shared" ref="F3:F41" si="1">C3*D3</f>
        <v>924</v>
      </c>
      <c r="G3" s="1">
        <f t="shared" ref="G3:G41" si="2">0.5*C3*E3</f>
        <v>22</v>
      </c>
      <c r="H3" s="1">
        <f t="shared" ref="H3:H41" si="3">F3+G3</f>
        <v>946</v>
      </c>
    </row>
    <row r="4" spans="1:8" x14ac:dyDescent="0.3">
      <c r="A4" t="str">
        <v>Samuel Rachene</v>
      </c>
      <c r="B4" t="str">
        <v>Week 3</v>
      </c>
      <c r="C4" s="1">
        <v>22</v>
      </c>
      <c r="D4">
        <v>38</v>
      </c>
      <c r="E4">
        <f t="shared" si="0"/>
        <v>0</v>
      </c>
      <c r="F4" s="1">
        <f t="shared" si="1"/>
        <v>836</v>
      </c>
      <c r="G4" s="1">
        <f t="shared" si="2"/>
        <v>0</v>
      </c>
      <c r="H4" s="1">
        <f t="shared" si="3"/>
        <v>836</v>
      </c>
    </row>
    <row r="5" spans="1:8" x14ac:dyDescent="0.3">
      <c r="A5" t="str">
        <v>Samuel Rachene</v>
      </c>
      <c r="B5" t="str">
        <v>Week 4</v>
      </c>
      <c r="C5" s="1">
        <v>22</v>
      </c>
      <c r="D5">
        <v>41</v>
      </c>
      <c r="E5">
        <f t="shared" si="0"/>
        <v>1</v>
      </c>
      <c r="F5" s="1">
        <f t="shared" si="1"/>
        <v>902</v>
      </c>
      <c r="G5" s="1">
        <f t="shared" si="2"/>
        <v>11</v>
      </c>
      <c r="H5" s="1">
        <f t="shared" si="3"/>
        <v>913</v>
      </c>
    </row>
    <row r="6" spans="1:8" x14ac:dyDescent="0.3">
      <c r="A6" t="str">
        <v>Eugena Esser</v>
      </c>
      <c r="B6" t="str">
        <v>Week 1</v>
      </c>
      <c r="C6" s="1">
        <v>18</v>
      </c>
      <c r="D6">
        <v>38</v>
      </c>
      <c r="E6">
        <f t="shared" si="0"/>
        <v>0</v>
      </c>
      <c r="F6" s="1">
        <f t="shared" si="1"/>
        <v>684</v>
      </c>
      <c r="G6" s="1">
        <f t="shared" si="2"/>
        <v>0</v>
      </c>
      <c r="H6" s="1">
        <f t="shared" si="3"/>
        <v>684</v>
      </c>
    </row>
    <row r="7" spans="1:8" x14ac:dyDescent="0.3">
      <c r="A7" t="str">
        <v>Eugena Esser</v>
      </c>
      <c r="B7" t="str">
        <v>Week 2</v>
      </c>
      <c r="C7" s="1">
        <v>18</v>
      </c>
      <c r="D7">
        <v>36</v>
      </c>
      <c r="E7">
        <f t="shared" si="0"/>
        <v>0</v>
      </c>
      <c r="F7" s="1">
        <f t="shared" si="1"/>
        <v>648</v>
      </c>
      <c r="G7" s="1">
        <f t="shared" si="2"/>
        <v>0</v>
      </c>
      <c r="H7" s="1">
        <f t="shared" si="3"/>
        <v>648</v>
      </c>
    </row>
    <row r="8" spans="1:8" x14ac:dyDescent="0.3">
      <c r="A8" t="str">
        <v>Eugena Esser</v>
      </c>
      <c r="B8" t="str">
        <v>Week 3</v>
      </c>
      <c r="C8" s="1">
        <v>18</v>
      </c>
      <c r="D8">
        <v>40</v>
      </c>
      <c r="E8">
        <f t="shared" si="0"/>
        <v>0</v>
      </c>
      <c r="F8" s="1">
        <f t="shared" si="1"/>
        <v>720</v>
      </c>
      <c r="G8" s="1">
        <f t="shared" si="2"/>
        <v>0</v>
      </c>
      <c r="H8" s="1">
        <f t="shared" si="3"/>
        <v>720</v>
      </c>
    </row>
    <row r="9" spans="1:8" x14ac:dyDescent="0.3">
      <c r="A9" t="str">
        <v>Eugena Esser</v>
      </c>
      <c r="B9" t="str">
        <v>Week 4</v>
      </c>
      <c r="C9" s="1">
        <v>18</v>
      </c>
      <c r="D9">
        <v>39</v>
      </c>
      <c r="E9">
        <f t="shared" si="0"/>
        <v>0</v>
      </c>
      <c r="F9" s="1">
        <f t="shared" si="1"/>
        <v>702</v>
      </c>
      <c r="G9" s="1">
        <f t="shared" si="2"/>
        <v>0</v>
      </c>
      <c r="H9" s="1">
        <f t="shared" si="3"/>
        <v>702</v>
      </c>
    </row>
    <row r="10" spans="1:8" x14ac:dyDescent="0.3">
      <c r="A10" t="str">
        <v>Michel Averette</v>
      </c>
      <c r="B10" t="str">
        <v>Week 1</v>
      </c>
      <c r="C10" s="1">
        <v>15</v>
      </c>
      <c r="D10">
        <v>42</v>
      </c>
      <c r="E10">
        <f t="shared" si="0"/>
        <v>2</v>
      </c>
      <c r="F10" s="1">
        <f t="shared" si="1"/>
        <v>630</v>
      </c>
      <c r="G10" s="1">
        <f t="shared" si="2"/>
        <v>15</v>
      </c>
      <c r="H10" s="1">
        <f t="shared" si="3"/>
        <v>645</v>
      </c>
    </row>
    <row r="11" spans="1:8" x14ac:dyDescent="0.3">
      <c r="A11" t="str">
        <v>Michel Averette</v>
      </c>
      <c r="B11" t="str">
        <v>Week 2</v>
      </c>
      <c r="C11" s="1">
        <v>15</v>
      </c>
      <c r="D11">
        <v>45</v>
      </c>
      <c r="E11">
        <f t="shared" si="0"/>
        <v>5</v>
      </c>
      <c r="F11" s="1">
        <f t="shared" si="1"/>
        <v>675</v>
      </c>
      <c r="G11" s="1">
        <f t="shared" si="2"/>
        <v>37.5</v>
      </c>
      <c r="H11" s="1">
        <f t="shared" si="3"/>
        <v>712.5</v>
      </c>
    </row>
    <row r="12" spans="1:8" x14ac:dyDescent="0.3">
      <c r="A12" t="str">
        <v>Michel Averette</v>
      </c>
      <c r="B12" t="str">
        <v>Week 3</v>
      </c>
      <c r="C12" s="1">
        <v>15</v>
      </c>
      <c r="D12">
        <v>44</v>
      </c>
      <c r="E12">
        <f t="shared" si="0"/>
        <v>4</v>
      </c>
      <c r="F12" s="1">
        <f t="shared" si="1"/>
        <v>660</v>
      </c>
      <c r="G12" s="1">
        <f t="shared" si="2"/>
        <v>30</v>
      </c>
      <c r="H12" s="1">
        <f t="shared" si="3"/>
        <v>690</v>
      </c>
    </row>
    <row r="13" spans="1:8" x14ac:dyDescent="0.3">
      <c r="A13" t="str">
        <v>Michel Averette</v>
      </c>
      <c r="B13" t="str">
        <v>Week 4</v>
      </c>
      <c r="C13" s="1">
        <v>15</v>
      </c>
      <c r="D13">
        <v>46</v>
      </c>
      <c r="E13">
        <f t="shared" si="0"/>
        <v>6</v>
      </c>
      <c r="F13" s="1">
        <f t="shared" si="1"/>
        <v>690</v>
      </c>
      <c r="G13" s="1">
        <f t="shared" si="2"/>
        <v>45</v>
      </c>
      <c r="H13" s="1">
        <f t="shared" si="3"/>
        <v>735</v>
      </c>
    </row>
    <row r="14" spans="1:8" x14ac:dyDescent="0.3">
      <c r="A14" t="str">
        <v>Renetta Carew</v>
      </c>
      <c r="B14" t="str">
        <v>Week 1</v>
      </c>
      <c r="C14" s="1">
        <v>20</v>
      </c>
      <c r="D14">
        <v>36</v>
      </c>
      <c r="E14">
        <f t="shared" si="0"/>
        <v>0</v>
      </c>
      <c r="F14" s="1">
        <f t="shared" si="1"/>
        <v>720</v>
      </c>
      <c r="G14" s="1">
        <f t="shared" si="2"/>
        <v>0</v>
      </c>
      <c r="H14" s="1">
        <f t="shared" si="3"/>
        <v>720</v>
      </c>
    </row>
    <row r="15" spans="1:8" x14ac:dyDescent="0.3">
      <c r="A15" t="str">
        <v>Renetta Carew</v>
      </c>
      <c r="B15" t="str">
        <v>Week 2</v>
      </c>
      <c r="C15" s="1">
        <v>20</v>
      </c>
      <c r="D15">
        <v>38</v>
      </c>
      <c r="E15">
        <f t="shared" si="0"/>
        <v>0</v>
      </c>
      <c r="F15" s="1">
        <f t="shared" si="1"/>
        <v>760</v>
      </c>
      <c r="G15" s="1">
        <f t="shared" si="2"/>
        <v>0</v>
      </c>
      <c r="H15" s="1">
        <f t="shared" si="3"/>
        <v>760</v>
      </c>
    </row>
    <row r="16" spans="1:8" x14ac:dyDescent="0.3">
      <c r="A16" t="str">
        <v>Renetta Carew</v>
      </c>
      <c r="B16" t="str">
        <v>Week 3</v>
      </c>
      <c r="C16" s="1">
        <v>20</v>
      </c>
      <c r="D16">
        <v>35</v>
      </c>
      <c r="E16">
        <f t="shared" si="0"/>
        <v>0</v>
      </c>
      <c r="F16" s="1">
        <f t="shared" si="1"/>
        <v>700</v>
      </c>
      <c r="G16" s="1">
        <f t="shared" si="2"/>
        <v>0</v>
      </c>
      <c r="H16" s="1">
        <f t="shared" si="3"/>
        <v>700</v>
      </c>
    </row>
    <row r="17" spans="1:8" x14ac:dyDescent="0.3">
      <c r="A17" t="str">
        <v>Renetta Carew</v>
      </c>
      <c r="B17" t="str">
        <v>Week 4</v>
      </c>
      <c r="C17" s="1">
        <v>20</v>
      </c>
      <c r="D17">
        <v>37</v>
      </c>
      <c r="E17">
        <f t="shared" si="0"/>
        <v>0</v>
      </c>
      <c r="F17" s="1">
        <f t="shared" si="1"/>
        <v>740</v>
      </c>
      <c r="G17" s="1">
        <f t="shared" si="2"/>
        <v>0</v>
      </c>
      <c r="H17" s="1">
        <f t="shared" si="3"/>
        <v>740</v>
      </c>
    </row>
    <row r="18" spans="1:8" x14ac:dyDescent="0.3">
      <c r="A18" t="str">
        <v>Cara Clarke</v>
      </c>
      <c r="B18" t="str">
        <v>Week 1</v>
      </c>
      <c r="C18" s="1">
        <v>25</v>
      </c>
      <c r="D18">
        <v>45</v>
      </c>
      <c r="E18">
        <f t="shared" si="0"/>
        <v>5</v>
      </c>
      <c r="F18" s="1">
        <f t="shared" si="1"/>
        <v>1125</v>
      </c>
      <c r="G18" s="1">
        <f t="shared" si="2"/>
        <v>62.5</v>
      </c>
      <c r="H18" s="1">
        <f t="shared" si="3"/>
        <v>1187.5</v>
      </c>
    </row>
    <row r="19" spans="1:8" x14ac:dyDescent="0.3">
      <c r="A19" t="str">
        <v>Cara Clarke</v>
      </c>
      <c r="B19" t="str">
        <v>Week 2</v>
      </c>
      <c r="C19" s="1">
        <v>25</v>
      </c>
      <c r="D19">
        <v>47</v>
      </c>
      <c r="E19">
        <f t="shared" si="0"/>
        <v>7</v>
      </c>
      <c r="F19" s="1">
        <f t="shared" si="1"/>
        <v>1175</v>
      </c>
      <c r="G19" s="1">
        <f t="shared" si="2"/>
        <v>87.5</v>
      </c>
      <c r="H19" s="1">
        <f t="shared" si="3"/>
        <v>1262.5</v>
      </c>
    </row>
    <row r="20" spans="1:8" x14ac:dyDescent="0.3">
      <c r="A20" t="str">
        <v>Cara Clarke</v>
      </c>
      <c r="B20" t="str">
        <v>Week 3</v>
      </c>
      <c r="C20" s="1">
        <v>25</v>
      </c>
      <c r="D20">
        <v>46</v>
      </c>
      <c r="E20">
        <f t="shared" si="0"/>
        <v>6</v>
      </c>
      <c r="F20" s="1">
        <f t="shared" si="1"/>
        <v>1150</v>
      </c>
      <c r="G20" s="1">
        <f t="shared" si="2"/>
        <v>75</v>
      </c>
      <c r="H20" s="1">
        <f t="shared" si="3"/>
        <v>1225</v>
      </c>
    </row>
    <row r="21" spans="1:8" x14ac:dyDescent="0.3">
      <c r="A21" t="str">
        <v>Cara Clarke</v>
      </c>
      <c r="B21" t="str">
        <v>Week 4</v>
      </c>
      <c r="C21" s="1">
        <v>25</v>
      </c>
      <c r="D21">
        <v>48</v>
      </c>
      <c r="E21">
        <f t="shared" si="0"/>
        <v>8</v>
      </c>
      <c r="F21" s="1">
        <f t="shared" si="1"/>
        <v>1200</v>
      </c>
      <c r="G21" s="1">
        <f t="shared" si="2"/>
        <v>100</v>
      </c>
      <c r="H21" s="1">
        <f t="shared" si="3"/>
        <v>1300</v>
      </c>
    </row>
    <row r="22" spans="1:8" x14ac:dyDescent="0.3">
      <c r="A22" t="str">
        <v>Lavera Oles</v>
      </c>
      <c r="B22" t="str">
        <v>Week 1</v>
      </c>
      <c r="C22" s="1">
        <v>30</v>
      </c>
      <c r="D22">
        <v>44</v>
      </c>
      <c r="E22">
        <f t="shared" si="0"/>
        <v>4</v>
      </c>
      <c r="F22" s="1">
        <f t="shared" si="1"/>
        <v>1320</v>
      </c>
      <c r="G22" s="1">
        <f t="shared" si="2"/>
        <v>60</v>
      </c>
      <c r="H22" s="1">
        <f t="shared" si="3"/>
        <v>1380</v>
      </c>
    </row>
    <row r="23" spans="1:8" x14ac:dyDescent="0.3">
      <c r="A23" t="str">
        <v>Lavera Oles</v>
      </c>
      <c r="B23" t="str">
        <v>Week 2</v>
      </c>
      <c r="C23" s="1">
        <v>30</v>
      </c>
      <c r="D23">
        <v>41</v>
      </c>
      <c r="E23">
        <f t="shared" si="0"/>
        <v>1</v>
      </c>
      <c r="F23" s="1">
        <f t="shared" si="1"/>
        <v>1230</v>
      </c>
      <c r="G23" s="1">
        <f t="shared" si="2"/>
        <v>15</v>
      </c>
      <c r="H23" s="1">
        <f t="shared" si="3"/>
        <v>1245</v>
      </c>
    </row>
    <row r="24" spans="1:8" x14ac:dyDescent="0.3">
      <c r="A24" t="str">
        <v>Lavera Oles</v>
      </c>
      <c r="B24" t="str">
        <v>Week 3</v>
      </c>
      <c r="C24" s="1">
        <v>30</v>
      </c>
      <c r="D24">
        <v>42</v>
      </c>
      <c r="E24">
        <f t="shared" si="0"/>
        <v>2</v>
      </c>
      <c r="F24" s="1">
        <f t="shared" si="1"/>
        <v>1260</v>
      </c>
      <c r="G24" s="1">
        <f t="shared" si="2"/>
        <v>30</v>
      </c>
      <c r="H24" s="1">
        <f t="shared" si="3"/>
        <v>1290</v>
      </c>
    </row>
    <row r="25" spans="1:8" x14ac:dyDescent="0.3">
      <c r="A25" t="str">
        <v>Lavera Oles</v>
      </c>
      <c r="B25" t="str">
        <v>Week 4</v>
      </c>
      <c r="C25" s="1">
        <v>30</v>
      </c>
      <c r="D25">
        <v>43</v>
      </c>
      <c r="E25">
        <f t="shared" si="0"/>
        <v>3</v>
      </c>
      <c r="F25" s="1">
        <f t="shared" si="1"/>
        <v>1290</v>
      </c>
      <c r="G25" s="1">
        <f t="shared" si="2"/>
        <v>45</v>
      </c>
      <c r="H25" s="1">
        <f t="shared" si="3"/>
        <v>1335</v>
      </c>
    </row>
    <row r="26" spans="1:8" x14ac:dyDescent="0.3">
      <c r="A26" t="str">
        <v>Elba Felder</v>
      </c>
      <c r="B26" t="str">
        <v>Week 1</v>
      </c>
      <c r="C26" s="1">
        <v>27</v>
      </c>
      <c r="D26">
        <v>39</v>
      </c>
      <c r="E26">
        <f t="shared" si="0"/>
        <v>0</v>
      </c>
      <c r="F26" s="1">
        <f t="shared" si="1"/>
        <v>1053</v>
      </c>
      <c r="G26" s="1">
        <f t="shared" si="2"/>
        <v>0</v>
      </c>
      <c r="H26" s="1">
        <f t="shared" si="3"/>
        <v>1053</v>
      </c>
    </row>
    <row r="27" spans="1:8" x14ac:dyDescent="0.3">
      <c r="A27" t="str">
        <v>Elba Felder</v>
      </c>
      <c r="B27" t="str">
        <v>Week 2</v>
      </c>
      <c r="C27" s="1">
        <v>27</v>
      </c>
      <c r="D27">
        <v>40</v>
      </c>
      <c r="E27">
        <f t="shared" si="0"/>
        <v>0</v>
      </c>
      <c r="F27" s="1">
        <f t="shared" si="1"/>
        <v>1080</v>
      </c>
      <c r="G27" s="1">
        <f t="shared" si="2"/>
        <v>0</v>
      </c>
      <c r="H27" s="1">
        <f t="shared" si="3"/>
        <v>1080</v>
      </c>
    </row>
    <row r="28" spans="1:8" x14ac:dyDescent="0.3">
      <c r="A28" t="str">
        <v>Elba Felder</v>
      </c>
      <c r="B28" t="str">
        <v>Week 3</v>
      </c>
      <c r="C28" s="1">
        <v>27</v>
      </c>
      <c r="D28">
        <v>39</v>
      </c>
      <c r="E28">
        <f t="shared" si="0"/>
        <v>0</v>
      </c>
      <c r="F28" s="1">
        <f t="shared" si="1"/>
        <v>1053</v>
      </c>
      <c r="G28" s="1">
        <f t="shared" si="2"/>
        <v>0</v>
      </c>
      <c r="H28" s="1">
        <f t="shared" si="3"/>
        <v>1053</v>
      </c>
    </row>
    <row r="29" spans="1:8" x14ac:dyDescent="0.3">
      <c r="A29" t="str">
        <v>Elba Felder</v>
      </c>
      <c r="B29" t="str">
        <v>Week 4</v>
      </c>
      <c r="C29" s="1">
        <v>27</v>
      </c>
      <c r="D29">
        <v>38</v>
      </c>
      <c r="E29">
        <f t="shared" si="0"/>
        <v>0</v>
      </c>
      <c r="F29" s="1">
        <f t="shared" si="1"/>
        <v>1026</v>
      </c>
      <c r="G29" s="1">
        <f t="shared" si="2"/>
        <v>0</v>
      </c>
      <c r="H29" s="1">
        <f t="shared" si="3"/>
        <v>1026</v>
      </c>
    </row>
    <row r="30" spans="1:8" x14ac:dyDescent="0.3">
      <c r="A30" t="str">
        <v>Shawanda Selke</v>
      </c>
      <c r="B30" t="str">
        <v>Week 1</v>
      </c>
      <c r="C30" s="1">
        <v>19</v>
      </c>
      <c r="D30">
        <v>41</v>
      </c>
      <c r="E30">
        <f t="shared" si="0"/>
        <v>1</v>
      </c>
      <c r="F30" s="1">
        <f t="shared" si="1"/>
        <v>779</v>
      </c>
      <c r="G30" s="1">
        <f t="shared" si="2"/>
        <v>9.5</v>
      </c>
      <c r="H30" s="1">
        <f t="shared" si="3"/>
        <v>788.5</v>
      </c>
    </row>
    <row r="31" spans="1:8" x14ac:dyDescent="0.3">
      <c r="A31" t="str">
        <v>Shawanda Selke</v>
      </c>
      <c r="B31" t="str">
        <v>Week 2</v>
      </c>
      <c r="C31" s="1">
        <v>19</v>
      </c>
      <c r="D31">
        <v>43</v>
      </c>
      <c r="E31">
        <f t="shared" si="0"/>
        <v>3</v>
      </c>
      <c r="F31" s="1">
        <f t="shared" si="1"/>
        <v>817</v>
      </c>
      <c r="G31" s="1">
        <f t="shared" si="2"/>
        <v>28.5</v>
      </c>
      <c r="H31" s="1">
        <f t="shared" si="3"/>
        <v>845.5</v>
      </c>
    </row>
    <row r="32" spans="1:8" x14ac:dyDescent="0.3">
      <c r="A32" t="str">
        <v>Shawanda Selke</v>
      </c>
      <c r="B32" t="str">
        <v>Week 3</v>
      </c>
      <c r="C32" s="1">
        <v>19</v>
      </c>
      <c r="D32">
        <v>41</v>
      </c>
      <c r="E32">
        <f t="shared" si="0"/>
        <v>1</v>
      </c>
      <c r="F32" s="1">
        <f t="shared" si="1"/>
        <v>779</v>
      </c>
      <c r="G32" s="1">
        <f t="shared" si="2"/>
        <v>9.5</v>
      </c>
      <c r="H32" s="1">
        <f t="shared" si="3"/>
        <v>788.5</v>
      </c>
    </row>
    <row r="33" spans="1:8" x14ac:dyDescent="0.3">
      <c r="A33" t="str">
        <v>Shawanda Selke</v>
      </c>
      <c r="B33" t="str">
        <v>Week 4</v>
      </c>
      <c r="C33" s="1">
        <v>19</v>
      </c>
      <c r="D33">
        <v>42</v>
      </c>
      <c r="E33">
        <f t="shared" si="0"/>
        <v>2</v>
      </c>
      <c r="F33" s="1">
        <f t="shared" si="1"/>
        <v>798</v>
      </c>
      <c r="G33" s="1">
        <f t="shared" si="2"/>
        <v>19</v>
      </c>
      <c r="H33" s="1">
        <f t="shared" si="3"/>
        <v>817</v>
      </c>
    </row>
    <row r="34" spans="1:8" x14ac:dyDescent="0.3">
      <c r="A34" t="str">
        <v>Sibyl Lauria</v>
      </c>
      <c r="B34" t="str">
        <v>Week 1</v>
      </c>
      <c r="C34" s="1">
        <v>24</v>
      </c>
      <c r="D34">
        <v>37</v>
      </c>
      <c r="E34">
        <f t="shared" si="0"/>
        <v>0</v>
      </c>
      <c r="F34" s="1">
        <f t="shared" si="1"/>
        <v>888</v>
      </c>
      <c r="G34" s="1">
        <f t="shared" si="2"/>
        <v>0</v>
      </c>
      <c r="H34" s="1">
        <f t="shared" si="3"/>
        <v>888</v>
      </c>
    </row>
    <row r="35" spans="1:8" x14ac:dyDescent="0.3">
      <c r="A35" t="str">
        <v>Sibyl Lauria</v>
      </c>
      <c r="B35" t="str">
        <v>Week 2</v>
      </c>
      <c r="C35" s="1">
        <v>24</v>
      </c>
      <c r="D35">
        <v>39</v>
      </c>
      <c r="E35">
        <f t="shared" si="0"/>
        <v>0</v>
      </c>
      <c r="F35" s="1">
        <f t="shared" si="1"/>
        <v>936</v>
      </c>
      <c r="G35" s="1">
        <f t="shared" si="2"/>
        <v>0</v>
      </c>
      <c r="H35" s="1">
        <f t="shared" si="3"/>
        <v>936</v>
      </c>
    </row>
    <row r="36" spans="1:8" x14ac:dyDescent="0.3">
      <c r="A36" t="str">
        <v>Sibyl Lauria</v>
      </c>
      <c r="B36" t="str">
        <v>Week 3</v>
      </c>
      <c r="C36" s="1">
        <v>24</v>
      </c>
      <c r="D36">
        <v>36</v>
      </c>
      <c r="E36">
        <f t="shared" si="0"/>
        <v>0</v>
      </c>
      <c r="F36" s="1">
        <f t="shared" si="1"/>
        <v>864</v>
      </c>
      <c r="G36" s="1">
        <f t="shared" si="2"/>
        <v>0</v>
      </c>
      <c r="H36" s="1">
        <f t="shared" si="3"/>
        <v>864</v>
      </c>
    </row>
    <row r="37" spans="1:8" x14ac:dyDescent="0.3">
      <c r="A37" t="str">
        <v>Sibyl Lauria</v>
      </c>
      <c r="B37" t="str">
        <v>Week 4</v>
      </c>
      <c r="C37" s="1">
        <v>24</v>
      </c>
      <c r="D37">
        <v>40</v>
      </c>
      <c r="E37">
        <f t="shared" si="0"/>
        <v>0</v>
      </c>
      <c r="F37" s="1">
        <f t="shared" si="1"/>
        <v>960</v>
      </c>
      <c r="G37" s="1">
        <f t="shared" si="2"/>
        <v>0</v>
      </c>
      <c r="H37" s="1">
        <f t="shared" si="3"/>
        <v>960</v>
      </c>
    </row>
    <row r="38" spans="1:8" x14ac:dyDescent="0.3">
      <c r="A38" t="str">
        <v>Necole Victory</v>
      </c>
      <c r="B38" t="str">
        <v>Week 1</v>
      </c>
      <c r="C38" s="1">
        <v>21</v>
      </c>
      <c r="D38">
        <v>43</v>
      </c>
      <c r="E38">
        <f t="shared" si="0"/>
        <v>3</v>
      </c>
      <c r="F38" s="1">
        <f t="shared" si="1"/>
        <v>903</v>
      </c>
      <c r="G38" s="1">
        <f t="shared" si="2"/>
        <v>31.5</v>
      </c>
      <c r="H38" s="1">
        <f t="shared" si="3"/>
        <v>934.5</v>
      </c>
    </row>
    <row r="39" spans="1:8" x14ac:dyDescent="0.3">
      <c r="A39" t="str">
        <v>Necole Victory</v>
      </c>
      <c r="B39" t="str">
        <v>Week 2</v>
      </c>
      <c r="C39" s="1">
        <v>21</v>
      </c>
      <c r="D39">
        <v>44</v>
      </c>
      <c r="E39">
        <f t="shared" si="0"/>
        <v>4</v>
      </c>
      <c r="F39" s="1">
        <f t="shared" si="1"/>
        <v>924</v>
      </c>
      <c r="G39" s="1">
        <f t="shared" si="2"/>
        <v>42</v>
      </c>
      <c r="H39" s="1">
        <f t="shared" si="3"/>
        <v>966</v>
      </c>
    </row>
    <row r="40" spans="1:8" x14ac:dyDescent="0.3">
      <c r="A40" t="str">
        <v>Necole Victory</v>
      </c>
      <c r="B40" t="str">
        <v>Week 3</v>
      </c>
      <c r="C40" s="1">
        <v>21</v>
      </c>
      <c r="D40">
        <v>45</v>
      </c>
      <c r="E40">
        <f t="shared" si="0"/>
        <v>5</v>
      </c>
      <c r="F40" s="1">
        <f t="shared" si="1"/>
        <v>945</v>
      </c>
      <c r="G40" s="1">
        <f t="shared" si="2"/>
        <v>52.5</v>
      </c>
      <c r="H40" s="1">
        <f t="shared" si="3"/>
        <v>997.5</v>
      </c>
    </row>
    <row r="41" spans="1:8" x14ac:dyDescent="0.3">
      <c r="A41" t="str">
        <v>Necole Victory</v>
      </c>
      <c r="B41" t="str">
        <v>Week 4</v>
      </c>
      <c r="C41" s="1">
        <v>21</v>
      </c>
      <c r="D41">
        <v>44</v>
      </c>
      <c r="E41">
        <f t="shared" si="0"/>
        <v>4</v>
      </c>
      <c r="F41" s="1">
        <f t="shared" si="1"/>
        <v>924</v>
      </c>
      <c r="G41" s="1">
        <f t="shared" si="2"/>
        <v>42</v>
      </c>
      <c r="H41" s="1">
        <f t="shared" si="3"/>
        <v>966</v>
      </c>
    </row>
    <row r="42" spans="1:8" x14ac:dyDescent="0.3">
      <c r="H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5E35-1C45-41A8-801E-099CEA83C521}">
  <dimension ref="B1:M14"/>
  <sheetViews>
    <sheetView showGridLines="0" zoomScale="72" zoomScaleNormal="72" workbookViewId="0">
      <selection activeCell="M4" sqref="M4"/>
    </sheetView>
  </sheetViews>
  <sheetFormatPr defaultRowHeight="14.4" x14ac:dyDescent="0.3"/>
  <cols>
    <col min="1" max="1" width="1" customWidth="1"/>
    <col min="2" max="2" width="50.21875" bestFit="1" customWidth="1"/>
    <col min="3" max="3" width="15.77734375" bestFit="1" customWidth="1"/>
    <col min="4" max="4" width="4.44140625" customWidth="1"/>
    <col min="5" max="5" width="27.21875" bestFit="1" customWidth="1"/>
    <col min="6" max="6" width="14.6640625" bestFit="1" customWidth="1"/>
    <col min="7" max="7" width="3.44140625" customWidth="1"/>
    <col min="8" max="8" width="27.21875" bestFit="1" customWidth="1"/>
    <col min="9" max="9" width="23.6640625" bestFit="1" customWidth="1"/>
    <col min="12" max="12" width="8.88671875" customWidth="1"/>
  </cols>
  <sheetData>
    <row r="1" spans="2:13" ht="28.8" customHeight="1" thickBot="1" x14ac:dyDescent="0.35">
      <c r="B1" s="16" t="s">
        <v>34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2:13" ht="21" x14ac:dyDescent="0.5">
      <c r="B2" s="13" t="s">
        <v>26</v>
      </c>
      <c r="C2" s="13" t="s">
        <v>27</v>
      </c>
      <c r="E2" s="14" t="s">
        <v>31</v>
      </c>
      <c r="F2" s="15" t="s">
        <v>0</v>
      </c>
      <c r="H2" s="14" t="s">
        <v>31</v>
      </c>
      <c r="I2" s="15" t="s">
        <v>1</v>
      </c>
    </row>
    <row r="3" spans="2:13" ht="21" x14ac:dyDescent="0.35">
      <c r="B3" s="7" t="s">
        <v>28</v>
      </c>
      <c r="C3" s="2">
        <f>SUM(calculations!H:H)</f>
        <v>37220</v>
      </c>
      <c r="E3" s="10" t="s">
        <v>21</v>
      </c>
      <c r="F3" s="11">
        <v>5250</v>
      </c>
      <c r="H3" s="10" t="s">
        <v>20</v>
      </c>
      <c r="I3" s="12">
        <v>26</v>
      </c>
    </row>
    <row r="4" spans="2:13" ht="21" x14ac:dyDescent="0.35">
      <c r="B4" s="7" t="s">
        <v>3</v>
      </c>
      <c r="C4" s="3">
        <f>SUM(calculations!G:G)</f>
        <v>870</v>
      </c>
      <c r="E4" s="10" t="s">
        <v>20</v>
      </c>
      <c r="F4" s="11">
        <v>4975</v>
      </c>
      <c r="H4" s="10" t="s">
        <v>18</v>
      </c>
      <c r="I4" s="12">
        <v>17</v>
      </c>
    </row>
    <row r="5" spans="2:13" ht="21" x14ac:dyDescent="0.35">
      <c r="B5" s="7" t="s">
        <v>29</v>
      </c>
      <c r="C5" s="4">
        <f>AVERAGE(calculations!H:H)</f>
        <v>930.5</v>
      </c>
      <c r="E5" s="10" t="s">
        <v>22</v>
      </c>
      <c r="F5" s="11">
        <v>4212</v>
      </c>
      <c r="H5" s="10" t="s">
        <v>25</v>
      </c>
      <c r="I5" s="12">
        <v>16</v>
      </c>
    </row>
    <row r="6" spans="2:13" ht="21" x14ac:dyDescent="0.35">
      <c r="B6" s="7" t="s">
        <v>2</v>
      </c>
      <c r="C6" s="5" t="str">
        <f>INDEX(calculations!A:A,MATCH(MAX(calculations!H:H,),calculations!H:H,0))</f>
        <v>Lavera Oles</v>
      </c>
      <c r="E6" s="10" t="s">
        <v>25</v>
      </c>
      <c r="F6" s="11">
        <v>3864</v>
      </c>
      <c r="H6" s="10" t="s">
        <v>21</v>
      </c>
      <c r="I6" s="12">
        <v>10</v>
      </c>
    </row>
    <row r="7" spans="2:13" ht="21" x14ac:dyDescent="0.35">
      <c r="B7" s="8" t="s">
        <v>32</v>
      </c>
      <c r="C7" s="5" t="str">
        <f>INDEX(calculations!A:A,MATCH(MAX(calculations!E:E),calculations!E:E,0))</f>
        <v>Cara Clarke</v>
      </c>
      <c r="E7" s="10" t="s">
        <v>24</v>
      </c>
      <c r="F7" s="11">
        <v>3648</v>
      </c>
      <c r="H7" s="10" t="s">
        <v>23</v>
      </c>
      <c r="I7" s="12">
        <v>7</v>
      </c>
    </row>
    <row r="8" spans="2:13" ht="21.6" thickBot="1" x14ac:dyDescent="0.4">
      <c r="B8" s="9" t="s">
        <v>33</v>
      </c>
      <c r="C8" s="6" t="str">
        <f>INDEX(B11:B14,MATCH(MAX(C11:C14),C11:C14,0))</f>
        <v>Week 4</v>
      </c>
      <c r="E8" s="10" t="s">
        <v>12</v>
      </c>
      <c r="F8" s="11">
        <v>3575</v>
      </c>
      <c r="H8" s="10" t="s">
        <v>12</v>
      </c>
      <c r="I8" s="12">
        <v>3</v>
      </c>
    </row>
    <row r="9" spans="2:13" ht="18" x14ac:dyDescent="0.35">
      <c r="E9" s="10" t="s">
        <v>23</v>
      </c>
      <c r="F9" s="11">
        <v>3239.5</v>
      </c>
      <c r="H9" s="10" t="s">
        <v>22</v>
      </c>
      <c r="I9" s="12">
        <v>0</v>
      </c>
    </row>
    <row r="10" spans="2:13" ht="21" x14ac:dyDescent="0.5">
      <c r="B10" s="14" t="s">
        <v>30</v>
      </c>
      <c r="C10" s="15" t="s">
        <v>0</v>
      </c>
      <c r="E10" s="10" t="s">
        <v>19</v>
      </c>
      <c r="F10" s="11">
        <v>2920</v>
      </c>
      <c r="H10" s="10" t="s">
        <v>24</v>
      </c>
      <c r="I10" s="12">
        <v>0</v>
      </c>
    </row>
    <row r="11" spans="2:13" ht="18" x14ac:dyDescent="0.35">
      <c r="B11" s="10" t="s">
        <v>13</v>
      </c>
      <c r="C11" s="11">
        <v>9160.5</v>
      </c>
      <c r="E11" s="10" t="s">
        <v>18</v>
      </c>
      <c r="F11" s="11">
        <v>2782.5</v>
      </c>
      <c r="H11" s="10" t="s">
        <v>17</v>
      </c>
      <c r="I11" s="12">
        <v>0</v>
      </c>
    </row>
    <row r="12" spans="2:13" ht="18" x14ac:dyDescent="0.35">
      <c r="B12" s="10" t="s">
        <v>14</v>
      </c>
      <c r="C12" s="11">
        <v>9401.5</v>
      </c>
      <c r="E12" s="10" t="s">
        <v>17</v>
      </c>
      <c r="F12" s="11">
        <v>2754</v>
      </c>
      <c r="H12" s="10" t="s">
        <v>19</v>
      </c>
      <c r="I12" s="12">
        <v>0</v>
      </c>
    </row>
    <row r="13" spans="2:13" ht="18" x14ac:dyDescent="0.35">
      <c r="B13" s="10" t="s">
        <v>15</v>
      </c>
      <c r="C13" s="11">
        <v>9164</v>
      </c>
    </row>
    <row r="14" spans="2:13" ht="18" x14ac:dyDescent="0.35">
      <c r="B14" s="10" t="s">
        <v>16</v>
      </c>
      <c r="C14" s="11">
        <v>9494</v>
      </c>
    </row>
  </sheetData>
  <mergeCells count="1">
    <mergeCell ref="B1:M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calculations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Hussain</dc:creator>
  <cp:lastModifiedBy>Mohd Hussain</cp:lastModifiedBy>
  <dcterms:created xsi:type="dcterms:W3CDTF">2026-03-24T11:30:28Z</dcterms:created>
  <dcterms:modified xsi:type="dcterms:W3CDTF">2026-03-25T12:30:38Z</dcterms:modified>
</cp:coreProperties>
</file>