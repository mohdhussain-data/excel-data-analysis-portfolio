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d Hussain\OneDrive\Desktop\excel-data-analysis-portfolio\employee-training-analysis\"/>
    </mc:Choice>
  </mc:AlternateContent>
  <xr:revisionPtr revIDLastSave="0" documentId="13_ncr:1_{64F2E562-29AD-4724-9056-C82A3FAD983B}" xr6:coauthVersionLast="47" xr6:coauthVersionMax="47" xr10:uidLastSave="{00000000-0000-0000-0000-000000000000}"/>
  <bookViews>
    <workbookView xWindow="-108" yWindow="-108" windowWidth="23256" windowHeight="12456" activeTab="3" xr2:uid="{EB455597-0A90-4A13-9FB2-91F0C9639F56}"/>
  </bookViews>
  <sheets>
    <sheet name="raw_data" sheetId="1" r:id="rId1"/>
    <sheet name="calculations" sheetId="2" r:id="rId2"/>
    <sheet name="helper" sheetId="5" r:id="rId3"/>
    <sheet name="analysis" sheetId="3" r:id="rId4"/>
  </sheets>
  <definedNames>
    <definedName name="_xlnm._FilterDatabase" localSheetId="3" hidden="1">analysis!$G$3:$G$25</definedName>
  </definedNames>
  <calcPr calcId="191029"/>
  <pivotCaches>
    <pivotCache cacheId="2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7" i="3" l="1"/>
  <c r="E58" i="3"/>
  <c r="E56" i="3"/>
  <c r="E55" i="3"/>
  <c r="B8" i="3"/>
  <c r="B7" i="3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B3" i="3"/>
  <c r="B4" i="3"/>
  <c r="A2" i="2" a="1"/>
  <c r="A2" i="2" s="1"/>
  <c r="F2" i="2" s="1"/>
  <c r="I2" i="2" s="1"/>
  <c r="E51" i="3"/>
  <c r="B6" i="3"/>
  <c r="B5" i="3"/>
  <c r="E52" i="3" l="1"/>
  <c r="E56" i="2"/>
  <c r="G74" i="2"/>
  <c r="G34" i="2"/>
  <c r="G89" i="2"/>
  <c r="G49" i="2"/>
  <c r="G9" i="2"/>
  <c r="E80" i="2"/>
  <c r="E48" i="2"/>
  <c r="E16" i="2"/>
  <c r="F64" i="2"/>
  <c r="G88" i="2"/>
  <c r="G80" i="2"/>
  <c r="G72" i="2"/>
  <c r="G64" i="2"/>
  <c r="G56" i="2"/>
  <c r="G48" i="2"/>
  <c r="G40" i="2"/>
  <c r="G32" i="2"/>
  <c r="G24" i="2"/>
  <c r="G16" i="2"/>
  <c r="G8" i="2"/>
  <c r="G2" i="2"/>
  <c r="H2" i="2" s="1"/>
  <c r="G50" i="2"/>
  <c r="H50" i="2" s="1"/>
  <c r="G18" i="2"/>
  <c r="E22" i="2"/>
  <c r="G73" i="2"/>
  <c r="G33" i="2"/>
  <c r="E78" i="2"/>
  <c r="E46" i="2"/>
  <c r="E14" i="2"/>
  <c r="F56" i="2"/>
  <c r="G87" i="2"/>
  <c r="G79" i="2"/>
  <c r="G71" i="2"/>
  <c r="G63" i="2"/>
  <c r="G55" i="2"/>
  <c r="G47" i="2"/>
  <c r="G39" i="2"/>
  <c r="G31" i="2"/>
  <c r="G23" i="2"/>
  <c r="G15" i="2"/>
  <c r="G7" i="2"/>
  <c r="E88" i="2"/>
  <c r="G58" i="2"/>
  <c r="F70" i="2"/>
  <c r="G41" i="2"/>
  <c r="E72" i="2"/>
  <c r="E40" i="2"/>
  <c r="E8" i="2"/>
  <c r="F48" i="2"/>
  <c r="G86" i="2"/>
  <c r="G78" i="2"/>
  <c r="G70" i="2"/>
  <c r="G62" i="2"/>
  <c r="G54" i="2"/>
  <c r="G46" i="2"/>
  <c r="G38" i="2"/>
  <c r="G30" i="2"/>
  <c r="G22" i="2"/>
  <c r="G14" i="2"/>
  <c r="G6" i="2"/>
  <c r="E24" i="2"/>
  <c r="G66" i="2"/>
  <c r="H66" i="2" s="1"/>
  <c r="G26" i="2"/>
  <c r="E86" i="2"/>
  <c r="G81" i="2"/>
  <c r="G57" i="2"/>
  <c r="G17" i="2"/>
  <c r="E70" i="2"/>
  <c r="E38" i="2"/>
  <c r="E6" i="2"/>
  <c r="G85" i="2"/>
  <c r="G77" i="2"/>
  <c r="G69" i="2"/>
  <c r="G61" i="2"/>
  <c r="G53" i="2"/>
  <c r="G45" i="2"/>
  <c r="G37" i="2"/>
  <c r="G29" i="2"/>
  <c r="G21" i="2"/>
  <c r="G13" i="2"/>
  <c r="G5" i="2"/>
  <c r="F72" i="2"/>
  <c r="G82" i="2"/>
  <c r="G42" i="2"/>
  <c r="G10" i="2"/>
  <c r="E54" i="2"/>
  <c r="G65" i="2"/>
  <c r="G25" i="2"/>
  <c r="E64" i="2"/>
  <c r="E32" i="2"/>
  <c r="F88" i="2"/>
  <c r="I88" i="2" s="1"/>
  <c r="G84" i="2"/>
  <c r="G76" i="2"/>
  <c r="G68" i="2"/>
  <c r="G60" i="2"/>
  <c r="G52" i="2"/>
  <c r="G44" i="2"/>
  <c r="G36" i="2"/>
  <c r="G28" i="2"/>
  <c r="G20" i="2"/>
  <c r="G12" i="2"/>
  <c r="G4" i="2"/>
  <c r="E62" i="2"/>
  <c r="E30" i="2"/>
  <c r="F80" i="2"/>
  <c r="G83" i="2"/>
  <c r="G75" i="2"/>
  <c r="G67" i="2"/>
  <c r="G59" i="2"/>
  <c r="G51" i="2"/>
  <c r="G43" i="2"/>
  <c r="G35" i="2"/>
  <c r="G27" i="2"/>
  <c r="G19" i="2"/>
  <c r="G11" i="2"/>
  <c r="G3" i="2"/>
  <c r="F86" i="2"/>
  <c r="F40" i="2"/>
  <c r="F32" i="2"/>
  <c r="F78" i="2"/>
  <c r="F24" i="2"/>
  <c r="E75" i="2"/>
  <c r="E51" i="2"/>
  <c r="E35" i="2"/>
  <c r="E27" i="2"/>
  <c r="E11" i="2"/>
  <c r="F83" i="2"/>
  <c r="F67" i="2"/>
  <c r="F51" i="2"/>
  <c r="F35" i="2"/>
  <c r="F19" i="2"/>
  <c r="F3" i="2"/>
  <c r="E2" i="2"/>
  <c r="E82" i="2"/>
  <c r="E74" i="2"/>
  <c r="E66" i="2"/>
  <c r="E58" i="2"/>
  <c r="E50" i="2"/>
  <c r="E42" i="2"/>
  <c r="E34" i="2"/>
  <c r="E26" i="2"/>
  <c r="E18" i="2"/>
  <c r="E10" i="2"/>
  <c r="F82" i="2"/>
  <c r="I82" i="2" s="1"/>
  <c r="F74" i="2"/>
  <c r="F66" i="2"/>
  <c r="I66" i="2" s="1"/>
  <c r="F58" i="2"/>
  <c r="F50" i="2"/>
  <c r="I50" i="2" s="1"/>
  <c r="F42" i="2"/>
  <c r="F34" i="2"/>
  <c r="F26" i="2"/>
  <c r="F18" i="2"/>
  <c r="F10" i="2"/>
  <c r="F62" i="2"/>
  <c r="F54" i="2"/>
  <c r="F46" i="2"/>
  <c r="F38" i="2"/>
  <c r="F30" i="2"/>
  <c r="F22" i="2"/>
  <c r="F14" i="2"/>
  <c r="F6" i="2"/>
  <c r="E85" i="2"/>
  <c r="E77" i="2"/>
  <c r="E69" i="2"/>
  <c r="E61" i="2"/>
  <c r="E53" i="2"/>
  <c r="E45" i="2"/>
  <c r="E37" i="2"/>
  <c r="E29" i="2"/>
  <c r="E21" i="2"/>
  <c r="E13" i="2"/>
  <c r="E5" i="2"/>
  <c r="F85" i="2"/>
  <c r="F77" i="2"/>
  <c r="F69" i="2"/>
  <c r="F61" i="2"/>
  <c r="F53" i="2"/>
  <c r="F45" i="2"/>
  <c r="F37" i="2"/>
  <c r="F29" i="2"/>
  <c r="F21" i="2"/>
  <c r="F13" i="2"/>
  <c r="F5" i="2"/>
  <c r="E84" i="2"/>
  <c r="E76" i="2"/>
  <c r="E68" i="2"/>
  <c r="E60" i="2"/>
  <c r="E52" i="2"/>
  <c r="E44" i="2"/>
  <c r="E36" i="2"/>
  <c r="E28" i="2"/>
  <c r="E20" i="2"/>
  <c r="E12" i="2"/>
  <c r="E4" i="2"/>
  <c r="F84" i="2"/>
  <c r="F76" i="2"/>
  <c r="F68" i="2"/>
  <c r="F60" i="2"/>
  <c r="F52" i="2"/>
  <c r="F44" i="2"/>
  <c r="F36" i="2"/>
  <c r="F28" i="2"/>
  <c r="F20" i="2"/>
  <c r="F12" i="2"/>
  <c r="F4" i="2"/>
  <c r="E83" i="2"/>
  <c r="E67" i="2"/>
  <c r="E59" i="2"/>
  <c r="E43" i="2"/>
  <c r="E19" i="2"/>
  <c r="E3" i="2"/>
  <c r="F75" i="2"/>
  <c r="F59" i="2"/>
  <c r="F43" i="2"/>
  <c r="F27" i="2"/>
  <c r="F11" i="2"/>
  <c r="E89" i="2"/>
  <c r="E81" i="2"/>
  <c r="E73" i="2"/>
  <c r="E65" i="2"/>
  <c r="E57" i="2"/>
  <c r="E49" i="2"/>
  <c r="E41" i="2"/>
  <c r="E33" i="2"/>
  <c r="E25" i="2"/>
  <c r="E17" i="2"/>
  <c r="E9" i="2"/>
  <c r="F89" i="2"/>
  <c r="F81" i="2"/>
  <c r="F73" i="2"/>
  <c r="F65" i="2"/>
  <c r="F57" i="2"/>
  <c r="F49" i="2"/>
  <c r="F41" i="2"/>
  <c r="F33" i="2"/>
  <c r="F25" i="2"/>
  <c r="F17" i="2"/>
  <c r="F9" i="2"/>
  <c r="F16" i="2"/>
  <c r="F8" i="2"/>
  <c r="E87" i="2"/>
  <c r="E79" i="2"/>
  <c r="E71" i="2"/>
  <c r="E63" i="2"/>
  <c r="E55" i="2"/>
  <c r="E47" i="2"/>
  <c r="E39" i="2"/>
  <c r="E31" i="2"/>
  <c r="E23" i="2"/>
  <c r="E15" i="2"/>
  <c r="E7" i="2"/>
  <c r="F87" i="2"/>
  <c r="F79" i="2"/>
  <c r="F71" i="2"/>
  <c r="F63" i="2"/>
  <c r="F55" i="2"/>
  <c r="F47" i="2"/>
  <c r="F39" i="2"/>
  <c r="F31" i="2"/>
  <c r="F23" i="2"/>
  <c r="F15" i="2"/>
  <c r="F7" i="2"/>
  <c r="H52" i="2" l="1"/>
  <c r="I52" i="2"/>
  <c r="I32" i="2"/>
  <c r="H32" i="2"/>
  <c r="I7" i="2"/>
  <c r="H7" i="2"/>
  <c r="H60" i="2"/>
  <c r="I60" i="2"/>
  <c r="I40" i="2"/>
  <c r="H40" i="2"/>
  <c r="I15" i="2"/>
  <c r="H15" i="2"/>
  <c r="H79" i="2"/>
  <c r="I79" i="2"/>
  <c r="H17" i="2"/>
  <c r="I17" i="2"/>
  <c r="H81" i="2"/>
  <c r="I81" i="2"/>
  <c r="I59" i="2"/>
  <c r="H59" i="2"/>
  <c r="I4" i="2"/>
  <c r="H4" i="2"/>
  <c r="I68" i="2"/>
  <c r="H68" i="2"/>
  <c r="I21" i="2"/>
  <c r="H21" i="2"/>
  <c r="I85" i="2"/>
  <c r="H85" i="2"/>
  <c r="I38" i="2"/>
  <c r="H38" i="2"/>
  <c r="I42" i="2"/>
  <c r="H42" i="2"/>
  <c r="H86" i="2"/>
  <c r="I86" i="2"/>
  <c r="H63" i="2"/>
  <c r="I63" i="2"/>
  <c r="I5" i="2"/>
  <c r="H5" i="2"/>
  <c r="I43" i="2"/>
  <c r="H43" i="2"/>
  <c r="I34" i="2"/>
  <c r="H34" i="2"/>
  <c r="H87" i="2"/>
  <c r="I87" i="2"/>
  <c r="I25" i="2"/>
  <c r="H25" i="2"/>
  <c r="H89" i="2"/>
  <c r="I89" i="2"/>
  <c r="I75" i="2"/>
  <c r="H75" i="2"/>
  <c r="I12" i="2"/>
  <c r="H12" i="2"/>
  <c r="I76" i="2"/>
  <c r="H76" i="2"/>
  <c r="I29" i="2"/>
  <c r="H29" i="2"/>
  <c r="I46" i="2"/>
  <c r="H46" i="2"/>
  <c r="I3" i="2"/>
  <c r="H3" i="2"/>
  <c r="H70" i="2"/>
  <c r="I70" i="2"/>
  <c r="I65" i="2"/>
  <c r="H65" i="2"/>
  <c r="I26" i="2"/>
  <c r="H26" i="2"/>
  <c r="I73" i="2"/>
  <c r="H73" i="2"/>
  <c r="I30" i="2"/>
  <c r="H30" i="2"/>
  <c r="I31" i="2"/>
  <c r="H31" i="2"/>
  <c r="I33" i="2"/>
  <c r="H33" i="2"/>
  <c r="I20" i="2"/>
  <c r="H20" i="2"/>
  <c r="I84" i="2"/>
  <c r="H84" i="2"/>
  <c r="I37" i="2"/>
  <c r="H37" i="2"/>
  <c r="H54" i="2"/>
  <c r="I54" i="2"/>
  <c r="H58" i="2"/>
  <c r="I58" i="2"/>
  <c r="I19" i="2"/>
  <c r="H19" i="2"/>
  <c r="H82" i="2"/>
  <c r="H69" i="2"/>
  <c r="I69" i="2"/>
  <c r="H71" i="2"/>
  <c r="I71" i="2"/>
  <c r="I13" i="2"/>
  <c r="H13" i="2"/>
  <c r="I23" i="2"/>
  <c r="H23" i="2"/>
  <c r="I39" i="2"/>
  <c r="H39" i="2"/>
  <c r="I41" i="2"/>
  <c r="H41" i="2"/>
  <c r="I28" i="2"/>
  <c r="H28" i="2"/>
  <c r="I45" i="2"/>
  <c r="H45" i="2"/>
  <c r="H62" i="2"/>
  <c r="I62" i="2"/>
  <c r="I35" i="2"/>
  <c r="H35" i="2"/>
  <c r="H72" i="2"/>
  <c r="I72" i="2"/>
  <c r="H88" i="2"/>
  <c r="I16" i="2"/>
  <c r="H16" i="2"/>
  <c r="I22" i="2"/>
  <c r="H22" i="2"/>
  <c r="H56" i="2"/>
  <c r="I56" i="2"/>
  <c r="I47" i="2"/>
  <c r="H47" i="2"/>
  <c r="I49" i="2"/>
  <c r="H49" i="2"/>
  <c r="I36" i="2"/>
  <c r="H36" i="2"/>
  <c r="H53" i="2"/>
  <c r="I53" i="2"/>
  <c r="I6" i="2"/>
  <c r="H6" i="2"/>
  <c r="I10" i="2"/>
  <c r="H10" i="2"/>
  <c r="I74" i="2"/>
  <c r="H74" i="2"/>
  <c r="I51" i="2"/>
  <c r="H51" i="2"/>
  <c r="I24" i="2"/>
  <c r="H24" i="2"/>
  <c r="H80" i="2"/>
  <c r="I80" i="2"/>
  <c r="I48" i="2"/>
  <c r="H48" i="2"/>
  <c r="H64" i="2"/>
  <c r="I64" i="2"/>
  <c r="I27" i="2"/>
  <c r="H27" i="2"/>
  <c r="I83" i="2"/>
  <c r="H83" i="2"/>
  <c r="I9" i="2"/>
  <c r="H9" i="2"/>
  <c r="H77" i="2"/>
  <c r="I77" i="2"/>
  <c r="H55" i="2"/>
  <c r="I55" i="2"/>
  <c r="I8" i="2"/>
  <c r="H8" i="2"/>
  <c r="I57" i="2"/>
  <c r="H57" i="2"/>
  <c r="I11" i="2"/>
  <c r="H11" i="2"/>
  <c r="I44" i="2"/>
  <c r="H44" i="2"/>
  <c r="H61" i="2"/>
  <c r="I61" i="2"/>
  <c r="I14" i="2"/>
  <c r="H14" i="2"/>
  <c r="I18" i="2"/>
  <c r="H18" i="2"/>
  <c r="I67" i="2"/>
  <c r="H67" i="2"/>
  <c r="H78" i="2"/>
  <c r="I7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<sst xmlns="http://schemas.openxmlformats.org/spreadsheetml/2006/main" count="269" uniqueCount="69">
  <si>
    <t>employee_name</t>
  </si>
  <si>
    <t>test</t>
  </si>
  <si>
    <t>score</t>
  </si>
  <si>
    <t>max_score</t>
  </si>
  <si>
    <t>Samuel Rachene</t>
  </si>
  <si>
    <t>Safety</t>
  </si>
  <si>
    <t>Company Philosophy</t>
  </si>
  <si>
    <t>Financial Skills</t>
  </si>
  <si>
    <t>Drug Test</t>
  </si>
  <si>
    <t>Eugena Esser</t>
  </si>
  <si>
    <t>Michel Averette</t>
  </si>
  <si>
    <t>Renetta Carew</t>
  </si>
  <si>
    <t>Cara Clarke</t>
  </si>
  <si>
    <t>Lavera Oles</t>
  </si>
  <si>
    <t>Elba Felder</t>
  </si>
  <si>
    <t>Shawanda Selke</t>
  </si>
  <si>
    <t>Sibyl Lauria</t>
  </si>
  <si>
    <t>Necole Victory</t>
  </si>
  <si>
    <t>Ernestine Pickrone</t>
  </si>
  <si>
    <t>Ayesha Monica</t>
  </si>
  <si>
    <t>Retha Sears</t>
  </si>
  <si>
    <t>Julia Behrman</t>
  </si>
  <si>
    <t>Tia Amato</t>
  </si>
  <si>
    <t>Akilah Drinkard</t>
  </si>
  <si>
    <t>Silvana Virden</t>
  </si>
  <si>
    <t>Nakesha Renn</t>
  </si>
  <si>
    <t>Elna Condello</t>
  </si>
  <si>
    <t>Giana Dossey</t>
  </si>
  <si>
    <t>Debroah Wardle</t>
  </si>
  <si>
    <t>Sherlene Wetherington</t>
  </si>
  <si>
    <t>percentage</t>
  </si>
  <si>
    <t>total score per employee</t>
  </si>
  <si>
    <t>grade</t>
  </si>
  <si>
    <t>pass/fail</t>
  </si>
  <si>
    <t>total_max_score</t>
  </si>
  <si>
    <t>Total Employees</t>
  </si>
  <si>
    <t>Average Overall Score</t>
  </si>
  <si>
    <t>Pass Rate (%)</t>
  </si>
  <si>
    <t>Fail Count</t>
  </si>
  <si>
    <t>Top Performer</t>
  </si>
  <si>
    <t>Worst Performer</t>
  </si>
  <si>
    <t>Row Labels</t>
  </si>
  <si>
    <t>Grand Total</t>
  </si>
  <si>
    <t>Pass</t>
  </si>
  <si>
    <t>Fail</t>
  </si>
  <si>
    <t>Count of employee_name</t>
  </si>
  <si>
    <t>Column Labels</t>
  </si>
  <si>
    <t>overall_score</t>
  </si>
  <si>
    <t>Employee Name</t>
  </si>
  <si>
    <t>Overall Score</t>
  </si>
  <si>
    <t>Result</t>
  </si>
  <si>
    <t>Top 5 Employees</t>
  </si>
  <si>
    <t>Count</t>
  </si>
  <si>
    <t>Test Name</t>
  </si>
  <si>
    <t>Avg Score</t>
  </si>
  <si>
    <t>Insights:</t>
  </si>
  <si>
    <t>* Overall performance is low with average score of 48%</t>
  </si>
  <si>
    <t>* 45% of employees failed at least one test</t>
  </si>
  <si>
    <t>* Financial Skills has the lowest average score (~49%), indicating a major skill gap</t>
  </si>
  <si>
    <t>* Safety test shows the highest performance (~60%), indicating better compliance</t>
  </si>
  <si>
    <t>* Cara Clarke is the top performer with 93%</t>
  </si>
  <si>
    <t xml:space="preserve"> significantly above average</t>
  </si>
  <si>
    <t xml:space="preserve">   understanding</t>
  </si>
  <si>
    <t>Recommendations:</t>
  </si>
  <si>
    <t>* Conduct focused training programs on Financial Skills</t>
  </si>
  <si>
    <t>* Provide support plans for employees scoring below 50%</t>
  </si>
  <si>
    <t>* Reassess training content for weak areas</t>
  </si>
  <si>
    <t>* Track performance over time with periodic assessments</t>
  </si>
  <si>
    <t>Employee Training Assessment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</si>
</sst>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Calibri"/>
      <family val="2"/>
      <scheme val="minor"/>
    </font>
    <font>
      <b/>
      <sz val="20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9" fontId="0" fillId="0" borderId="0" xfId="1" applyFon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9" fontId="4" fillId="0" borderId="4" xfId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right" vertical="center"/>
    </xf>
    <xf numFmtId="0" fontId="2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right" vertical="center"/>
    </xf>
    <xf numFmtId="0" fontId="0" fillId="2" borderId="3" xfId="0" applyFill="1" applyBorder="1"/>
    <xf numFmtId="0" fontId="0" fillId="3" borderId="3" xfId="0" applyFill="1" applyBorder="1"/>
    <xf numFmtId="0" fontId="2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9" fontId="0" fillId="2" borderId="4" xfId="1" applyFont="1" applyFill="1" applyBorder="1"/>
    <xf numFmtId="9" fontId="0" fillId="0" borderId="4" xfId="1" applyFont="1" applyBorder="1"/>
    <xf numFmtId="9" fontId="0" fillId="0" borderId="6" xfId="1" applyFont="1" applyBorder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Fill="1" applyBorder="1"/>
    <xf numFmtId="9" fontId="0" fillId="3" borderId="4" xfId="1" applyFont="1" applyFill="1" applyBorder="1"/>
    <xf numFmtId="0" fontId="2" fillId="0" borderId="1" xfId="0" applyFont="1" applyBorder="1"/>
    <xf numFmtId="0" fontId="2" fillId="0" borderId="2" xfId="0" applyFont="1" applyBorder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3" fillId="0" borderId="0" xfId="0" applyFont="1"/>
    <xf numFmtId="0" fontId="7" fillId="4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33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Top 5 Employees by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analysis!$E$4</c:f>
              <c:strCache>
                <c:ptCount val="1"/>
                <c:pt idx="0">
                  <c:v>Overall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analysis!$D$5:$D$9</c:f>
              <c:strCache>
                <c:ptCount val="5"/>
                <c:pt idx="0">
                  <c:v>Cara Clarke</c:v>
                </c:pt>
                <c:pt idx="1">
                  <c:v>Ayesha Monica</c:v>
                </c:pt>
                <c:pt idx="2">
                  <c:v>Samuel Rachene</c:v>
                </c:pt>
                <c:pt idx="3">
                  <c:v>Tia Amato</c:v>
                </c:pt>
                <c:pt idx="4">
                  <c:v>Giana Dossey</c:v>
                </c:pt>
              </c:strCache>
            </c:strRef>
          </c:cat>
          <c:val>
            <c:numRef>
              <c:f>analysis!$E$5:$E$9</c:f>
              <c:numCache>
                <c:formatCode>0%</c:formatCode>
                <c:ptCount val="5"/>
                <c:pt idx="0">
                  <c:v>0.93129770992366412</c:v>
                </c:pt>
                <c:pt idx="1">
                  <c:v>0.87022900763358779</c:v>
                </c:pt>
                <c:pt idx="2">
                  <c:v>0.81679389312977102</c:v>
                </c:pt>
                <c:pt idx="3">
                  <c:v>0.81679389312977102</c:v>
                </c:pt>
                <c:pt idx="4">
                  <c:v>0.80152671755725191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6-4073-9F42-64E3B2CA6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8588736"/>
        <c:axId val="1198605536"/>
      </c:barChart>
      <c:catAx>
        <c:axId val="11985887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605536"/>
        <c:crosses val="autoZero"/>
        <c:auto val="1"/>
        <c:lblAlgn val="ctr"/>
        <c:lblOffset val="100"/>
        <c:noMultiLvlLbl val="0"/>
      </c:catAx>
      <c:valAx>
        <c:axId val="1198605536"/>
        <c:scaling>
          <c:orientation val="minMax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58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Pass vs Fail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analysis!$D$51:$D$52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analysis!$E$51:$E$52</c:f>
              <c:numCache>
                <c:formatCode>General</c:formatCode>
                <c:ptCount val="2"/>
                <c:pt idx="0">
                  <c:v>12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B-43B2-8E07-44E3C13F7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Average Score by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analysis!$D$55:$D$58</c:f>
              <c:strCache>
                <c:ptCount val="4"/>
                <c:pt idx="0">
                  <c:v>Safety</c:v>
                </c:pt>
                <c:pt idx="1">
                  <c:v>Company Philosophy</c:v>
                </c:pt>
                <c:pt idx="2">
                  <c:v>Drug Test</c:v>
                </c:pt>
                <c:pt idx="3">
                  <c:v>Financial Skills</c:v>
                </c:pt>
              </c:strCache>
            </c:strRef>
          </c:cat>
          <c:val>
            <c:numRef>
              <c:f>analysis!$E$55:$E$58</c:f>
              <c:numCache>
                <c:formatCode>0%</c:formatCode>
                <c:ptCount val="4"/>
                <c:pt idx="0">
                  <c:v>0.5818181818181819</c:v>
                </c:pt>
                <c:pt idx="1">
                  <c:v>0.54772727272727273</c:v>
                </c:pt>
                <c:pt idx="2">
                  <c:v>0.5</c:v>
                </c:pt>
                <c:pt idx="3">
                  <c:v>0.49136363636363628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7-4655-A157-F4E5C6EC2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7478720"/>
        <c:axId val="1087476320"/>
      </c:barChart>
      <c:catAx>
        <c:axId val="10874787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476320"/>
        <c:crosses val="autoZero"/>
        <c:auto val="1"/>
        <c:lblAlgn val="ctr"/>
        <c:lblOffset val="100"/>
        <c:noMultiLvlLbl val="0"/>
      </c:catAx>
      <c:valAx>
        <c:axId val="108747632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47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1</xdr:row>
      <xdr:rowOff>287913</xdr:rowOff>
    </xdr:from>
    <xdr:to>
      <xdr:col>14</xdr:col>
      <xdr:colOff>114300</xdr:colOff>
      <xdr:row>25</xdr:row>
      <xdr:rowOff>131703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A8A07F-8A4A-8C3F-52C6-59131383A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137160</xdr:colOff>
      <xdr:row>1</xdr:row>
      <xdr:rowOff>295534</xdr:rowOff>
    </xdr:from>
    <xdr:to>
      <xdr:col>21</xdr:col>
      <xdr:colOff>441960</xdr:colOff>
      <xdr:row>15</xdr:row>
      <xdr:rowOff>181234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522E54-D37E-B90C-E489-A9846B9AA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148355</xdr:colOff>
      <xdr:row>16</xdr:row>
      <xdr:rowOff>2727</xdr:rowOff>
    </xdr:from>
    <xdr:to>
      <xdr:col>21</xdr:col>
      <xdr:colOff>453155</xdr:colOff>
      <xdr:row>31</xdr:row>
      <xdr:rowOff>21542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66D81BC-E8AE-4CE8-AEF2-87816DF1B8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Hussain" refreshedDate="46107.875943402774" createdVersion="8" refreshedVersion="8" minRefreshableVersion="3" recordCount="22" xr:uid="{15F43697-B3A6-4D5E-BFE4-52A1759E4F39}">
  <cacheSource type="worksheet">
    <worksheetSource ref="A50:C72" sheet="analysis"/>
  </cacheSource>
  <cacheFields count="3">
    <cacheField name="employee_name" numFmtId="0">
      <sharedItems count="22">
        <s v="Samuel Rachene"/>
        <s v="Eugena Esser"/>
        <s v="Michel Averette"/>
        <s v="Renetta Carew"/>
        <s v="Cara Clarke"/>
        <s v="Lavera Oles"/>
        <s v="Elba Felder"/>
        <s v="Shawanda Selke"/>
        <s v="Sibyl Lauria"/>
        <s v="Necole Victory"/>
        <s v="Ernestine Pickrone"/>
        <s v="Ayesha Monica"/>
        <s v="Retha Sears"/>
        <s v="Julia Behrman"/>
        <s v="Tia Amato"/>
        <s v="Akilah Drinkard"/>
        <s v="Silvana Virden"/>
        <s v="Nakesha Renn"/>
        <s v="Elna Condello"/>
        <s v="Giana Dossey"/>
        <s v="Debroah Wardle"/>
        <s v="Sherlene Wetherington"/>
      </sharedItems>
    </cacheField>
    <cacheField name="overall_percentage" numFmtId="9">
      <sharedItems containsSemiMixedTypes="0" containsString="0" containsNumber="1" minValue="0.12977099236641221" maxValue="0.93129770992366412"/>
    </cacheField>
    <cacheField name="final_pass_fail" numFmtId="0">
      <sharedItems count="2">
        <s v="Pass"/>
        <s v="F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n v="0.81679389312977102"/>
    <x v="0"/>
  </r>
  <r>
    <x v="1"/>
    <n v="0.12977099236641221"/>
    <x v="1"/>
  </r>
  <r>
    <x v="2"/>
    <n v="0.56488549618320616"/>
    <x v="0"/>
  </r>
  <r>
    <x v="3"/>
    <n v="0.12977099236641221"/>
    <x v="1"/>
  </r>
  <r>
    <x v="4"/>
    <n v="0.93129770992366412"/>
    <x v="0"/>
  </r>
  <r>
    <x v="5"/>
    <n v="0.36641221374045801"/>
    <x v="1"/>
  </r>
  <r>
    <x v="6"/>
    <n v="0.61068702290076338"/>
    <x v="0"/>
  </r>
  <r>
    <x v="7"/>
    <n v="0.4351145038167939"/>
    <x v="1"/>
  </r>
  <r>
    <x v="8"/>
    <n v="0.15267175572519084"/>
    <x v="1"/>
  </r>
  <r>
    <x v="9"/>
    <n v="0.58015267175572516"/>
    <x v="0"/>
  </r>
  <r>
    <x v="10"/>
    <n v="0.61832061068702293"/>
    <x v="0"/>
  </r>
  <r>
    <x v="11"/>
    <n v="0.87022900763358779"/>
    <x v="0"/>
  </r>
  <r>
    <x v="12"/>
    <n v="0.48091603053435117"/>
    <x v="1"/>
  </r>
  <r>
    <x v="13"/>
    <n v="0.27480916030534353"/>
    <x v="1"/>
  </r>
  <r>
    <x v="14"/>
    <n v="0.81679389312977102"/>
    <x v="0"/>
  </r>
  <r>
    <x v="15"/>
    <n v="0.52671755725190839"/>
    <x v="0"/>
  </r>
  <r>
    <x v="16"/>
    <n v="0.22900763358778625"/>
    <x v="1"/>
  </r>
  <r>
    <x v="17"/>
    <n v="0.52671755725190839"/>
    <x v="0"/>
  </r>
  <r>
    <x v="18"/>
    <n v="0.34351145038167941"/>
    <x v="1"/>
  </r>
  <r>
    <x v="19"/>
    <n v="0.80152671755725191"/>
    <x v="0"/>
  </r>
  <r>
    <x v="20"/>
    <n v="0.32061068702290074"/>
    <x v="1"/>
  </r>
  <r>
    <x v="21"/>
    <n v="0.6259541984732824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56D85-1AFB-4032-B4D1-EF22848F227E}" name="PivotTable5" cacheId="2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1:B15" firstHeaderRow="1" firstDataRow="2" firstDataCol="1"/>
  <pivotFields count="3">
    <pivotField axis="axisRow" dataField="1" showAll="0">
      <items count="23">
        <item x="15"/>
        <item x="11"/>
        <item x="4"/>
        <item x="20"/>
        <item x="6"/>
        <item x="18"/>
        <item x="10"/>
        <item x="1"/>
        <item x="19"/>
        <item x="13"/>
        <item x="5"/>
        <item x="2"/>
        <item x="17"/>
        <item x="9"/>
        <item x="3"/>
        <item x="12"/>
        <item x="0"/>
        <item x="7"/>
        <item x="21"/>
        <item x="8"/>
        <item x="16"/>
        <item x="14"/>
        <item t="default"/>
      </items>
    </pivotField>
    <pivotField numFmtId="9" showAll="0"/>
    <pivotField axis="axisCol" showAll="0">
      <items count="3">
        <item h="1" x="1"/>
        <item x="0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4"/>
    </i>
    <i>
      <x v="6"/>
    </i>
    <i>
      <x v="8"/>
    </i>
    <i>
      <x v="11"/>
    </i>
    <i>
      <x v="12"/>
    </i>
    <i>
      <x v="13"/>
    </i>
    <i>
      <x v="16"/>
    </i>
    <i>
      <x v="18"/>
    </i>
    <i>
      <x v="21"/>
    </i>
    <i t="grand">
      <x/>
    </i>
  </rowItems>
  <colFields count="1">
    <field x="2"/>
  </colFields>
  <colItems count="1">
    <i>
      <x v="1"/>
    </i>
  </colItems>
  <dataFields count="1">
    <dataField name="Count of employee_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5C47BC-67F7-4E7C-8751-C416E5154A53}" name="Table1" displayName="Table1" ref="A1:D89" totalsRowShown="0">
  <autoFilter ref="A1:D89" xr:uid="{AC5C47BC-67F7-4E7C-8751-C416E5154A53}"/>
  <tableColumns count="4">
    <tableColumn id="1" xr3:uid="{66B5F6C9-7C1A-407B-A776-572AFFEFF932}" name="employee_name"/>
    <tableColumn id="2" xr3:uid="{E65FBC32-4D39-499A-BB38-C2601914E70A}" name="test"/>
    <tableColumn id="3" xr3:uid="{F0CB8AFF-522E-46E8-BC32-20B815CCEBDF}" name="score"/>
    <tableColumn id="4" xr3:uid="{D553CE78-E159-47FD-9185-8D39BCDA4786}" name="max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5DFFD-1BAE-47E1-BBCC-4768D27ED1E7}">
  <dimension ref="A1:D89"/>
  <sheetViews>
    <sheetView workbookViewId="0">
      <selection activeCell="F18" sqref="F18"/>
    </sheetView>
  </sheetViews>
  <sheetFormatPr defaultRowHeight="14.4" x14ac:dyDescent="0.3"/>
  <cols>
    <col min="1" max="1" width="19.88671875" bestFit="1" customWidth="1"/>
    <col min="2" max="2" width="18.109375" bestFit="1" customWidth="1"/>
    <col min="3" max="3" width="7.33203125" customWidth="1"/>
    <col min="4" max="4" width="11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9</v>
      </c>
      <c r="D2">
        <v>10</v>
      </c>
    </row>
    <row r="3" spans="1:4" x14ac:dyDescent="0.3">
      <c r="A3" t="s">
        <v>4</v>
      </c>
      <c r="B3" t="s">
        <v>6</v>
      </c>
      <c r="C3">
        <v>14</v>
      </c>
      <c r="D3">
        <v>20</v>
      </c>
    </row>
    <row r="4" spans="1:4" x14ac:dyDescent="0.3">
      <c r="A4" t="s">
        <v>4</v>
      </c>
      <c r="B4" t="s">
        <v>7</v>
      </c>
      <c r="C4">
        <v>83</v>
      </c>
      <c r="D4">
        <v>100</v>
      </c>
    </row>
    <row r="5" spans="1:4" x14ac:dyDescent="0.3">
      <c r="A5" t="s">
        <v>4</v>
      </c>
      <c r="B5" t="s">
        <v>8</v>
      </c>
      <c r="C5">
        <v>1</v>
      </c>
      <c r="D5">
        <v>1</v>
      </c>
    </row>
    <row r="6" spans="1:4" x14ac:dyDescent="0.3">
      <c r="A6" t="s">
        <v>9</v>
      </c>
      <c r="B6" t="s">
        <v>5</v>
      </c>
      <c r="C6">
        <v>2</v>
      </c>
      <c r="D6">
        <v>10</v>
      </c>
    </row>
    <row r="7" spans="1:4" x14ac:dyDescent="0.3">
      <c r="A7" t="s">
        <v>9</v>
      </c>
      <c r="B7" t="s">
        <v>6</v>
      </c>
      <c r="C7">
        <v>3</v>
      </c>
      <c r="D7">
        <v>20</v>
      </c>
    </row>
    <row r="8" spans="1:4" x14ac:dyDescent="0.3">
      <c r="A8" t="s">
        <v>9</v>
      </c>
      <c r="B8" t="s">
        <v>7</v>
      </c>
      <c r="C8">
        <v>12</v>
      </c>
      <c r="D8">
        <v>100</v>
      </c>
    </row>
    <row r="9" spans="1:4" x14ac:dyDescent="0.3">
      <c r="A9" t="s">
        <v>9</v>
      </c>
      <c r="B9" t="s">
        <v>8</v>
      </c>
      <c r="C9">
        <v>0</v>
      </c>
      <c r="D9">
        <v>1</v>
      </c>
    </row>
    <row r="10" spans="1:4" x14ac:dyDescent="0.3">
      <c r="A10" t="s">
        <v>10</v>
      </c>
      <c r="B10" t="s">
        <v>5</v>
      </c>
      <c r="C10">
        <v>7</v>
      </c>
      <c r="D10">
        <v>10</v>
      </c>
    </row>
    <row r="11" spans="1:4" x14ac:dyDescent="0.3">
      <c r="A11" t="s">
        <v>10</v>
      </c>
      <c r="B11" t="s">
        <v>6</v>
      </c>
      <c r="C11">
        <v>19</v>
      </c>
      <c r="D11">
        <v>20</v>
      </c>
    </row>
    <row r="12" spans="1:4" x14ac:dyDescent="0.3">
      <c r="A12" t="s">
        <v>10</v>
      </c>
      <c r="B12" t="s">
        <v>7</v>
      </c>
      <c r="C12">
        <v>47</v>
      </c>
      <c r="D12">
        <v>100</v>
      </c>
    </row>
    <row r="13" spans="1:4" x14ac:dyDescent="0.3">
      <c r="A13" t="s">
        <v>10</v>
      </c>
      <c r="B13" t="s">
        <v>8</v>
      </c>
      <c r="C13">
        <v>1</v>
      </c>
      <c r="D13">
        <v>1</v>
      </c>
    </row>
    <row r="14" spans="1:4" x14ac:dyDescent="0.3">
      <c r="A14" t="s">
        <v>11</v>
      </c>
      <c r="B14" t="s">
        <v>5</v>
      </c>
      <c r="C14">
        <v>4</v>
      </c>
      <c r="D14">
        <v>10</v>
      </c>
    </row>
    <row r="15" spans="1:4" x14ac:dyDescent="0.3">
      <c r="A15" t="s">
        <v>11</v>
      </c>
      <c r="B15" t="s">
        <v>6</v>
      </c>
      <c r="C15">
        <v>7</v>
      </c>
      <c r="D15">
        <v>20</v>
      </c>
    </row>
    <row r="16" spans="1:4" x14ac:dyDescent="0.3">
      <c r="A16" t="s">
        <v>11</v>
      </c>
      <c r="B16" t="s">
        <v>7</v>
      </c>
      <c r="C16">
        <v>5</v>
      </c>
      <c r="D16">
        <v>100</v>
      </c>
    </row>
    <row r="17" spans="1:4" x14ac:dyDescent="0.3">
      <c r="A17" t="s">
        <v>11</v>
      </c>
      <c r="B17" t="s">
        <v>8</v>
      </c>
      <c r="C17">
        <v>1</v>
      </c>
      <c r="D17">
        <v>1</v>
      </c>
    </row>
    <row r="18" spans="1:4" x14ac:dyDescent="0.3">
      <c r="A18" t="s">
        <v>12</v>
      </c>
      <c r="B18" t="s">
        <v>5</v>
      </c>
      <c r="C18">
        <v>10</v>
      </c>
      <c r="D18">
        <v>10</v>
      </c>
    </row>
    <row r="19" spans="1:4" x14ac:dyDescent="0.3">
      <c r="A19" t="s">
        <v>12</v>
      </c>
      <c r="B19" t="s">
        <v>6</v>
      </c>
      <c r="C19">
        <v>20</v>
      </c>
      <c r="D19">
        <v>20</v>
      </c>
    </row>
    <row r="20" spans="1:4" x14ac:dyDescent="0.3">
      <c r="A20" t="s">
        <v>12</v>
      </c>
      <c r="B20" t="s">
        <v>7</v>
      </c>
      <c r="C20">
        <v>91</v>
      </c>
      <c r="D20">
        <v>100</v>
      </c>
    </row>
    <row r="21" spans="1:4" x14ac:dyDescent="0.3">
      <c r="A21" t="s">
        <v>12</v>
      </c>
      <c r="B21" t="s">
        <v>8</v>
      </c>
      <c r="C21">
        <v>1</v>
      </c>
      <c r="D21">
        <v>1</v>
      </c>
    </row>
    <row r="22" spans="1:4" x14ac:dyDescent="0.3">
      <c r="A22" t="s">
        <v>13</v>
      </c>
      <c r="B22" t="s">
        <v>5</v>
      </c>
      <c r="C22">
        <v>10</v>
      </c>
      <c r="D22">
        <v>10</v>
      </c>
    </row>
    <row r="23" spans="1:4" x14ac:dyDescent="0.3">
      <c r="A23" t="s">
        <v>13</v>
      </c>
      <c r="B23" t="s">
        <v>6</v>
      </c>
      <c r="C23">
        <v>12</v>
      </c>
      <c r="D23">
        <v>20</v>
      </c>
    </row>
    <row r="24" spans="1:4" x14ac:dyDescent="0.3">
      <c r="A24" t="s">
        <v>13</v>
      </c>
      <c r="B24" t="s">
        <v>7</v>
      </c>
      <c r="C24">
        <v>26</v>
      </c>
      <c r="D24">
        <v>100</v>
      </c>
    </row>
    <row r="25" spans="1:4" x14ac:dyDescent="0.3">
      <c r="A25" t="s">
        <v>13</v>
      </c>
      <c r="B25" t="s">
        <v>8</v>
      </c>
      <c r="C25">
        <v>0</v>
      </c>
      <c r="D25">
        <v>1</v>
      </c>
    </row>
    <row r="26" spans="1:4" x14ac:dyDescent="0.3">
      <c r="A26" t="s">
        <v>14</v>
      </c>
      <c r="B26" t="s">
        <v>5</v>
      </c>
      <c r="C26">
        <v>6</v>
      </c>
      <c r="D26">
        <v>10</v>
      </c>
    </row>
    <row r="27" spans="1:4" x14ac:dyDescent="0.3">
      <c r="A27" t="s">
        <v>14</v>
      </c>
      <c r="B27" t="s">
        <v>6</v>
      </c>
      <c r="C27">
        <v>5</v>
      </c>
      <c r="D27">
        <v>20</v>
      </c>
    </row>
    <row r="28" spans="1:4" x14ac:dyDescent="0.3">
      <c r="A28" t="s">
        <v>14</v>
      </c>
      <c r="B28" t="s">
        <v>7</v>
      </c>
      <c r="C28">
        <v>68</v>
      </c>
      <c r="D28">
        <v>100</v>
      </c>
    </row>
    <row r="29" spans="1:4" x14ac:dyDescent="0.3">
      <c r="A29" t="s">
        <v>14</v>
      </c>
      <c r="B29" t="s">
        <v>8</v>
      </c>
      <c r="C29">
        <v>1</v>
      </c>
      <c r="D29">
        <v>1</v>
      </c>
    </row>
    <row r="30" spans="1:4" x14ac:dyDescent="0.3">
      <c r="A30" t="s">
        <v>15</v>
      </c>
      <c r="B30" t="s">
        <v>5</v>
      </c>
      <c r="C30">
        <v>3</v>
      </c>
      <c r="D30">
        <v>10</v>
      </c>
    </row>
    <row r="31" spans="1:4" x14ac:dyDescent="0.3">
      <c r="A31" t="s">
        <v>15</v>
      </c>
      <c r="B31" t="s">
        <v>6</v>
      </c>
      <c r="C31">
        <v>20</v>
      </c>
      <c r="D31">
        <v>20</v>
      </c>
    </row>
    <row r="32" spans="1:4" x14ac:dyDescent="0.3">
      <c r="A32" t="s">
        <v>15</v>
      </c>
      <c r="B32" t="s">
        <v>7</v>
      </c>
      <c r="C32">
        <v>34</v>
      </c>
      <c r="D32">
        <v>100</v>
      </c>
    </row>
    <row r="33" spans="1:4" x14ac:dyDescent="0.3">
      <c r="A33" t="s">
        <v>15</v>
      </c>
      <c r="B33" t="s">
        <v>8</v>
      </c>
      <c r="C33">
        <v>0</v>
      </c>
      <c r="D33">
        <v>1</v>
      </c>
    </row>
    <row r="34" spans="1:4" x14ac:dyDescent="0.3">
      <c r="A34" t="s">
        <v>16</v>
      </c>
      <c r="B34" t="s">
        <v>5</v>
      </c>
      <c r="C34">
        <v>8</v>
      </c>
      <c r="D34">
        <v>10</v>
      </c>
    </row>
    <row r="35" spans="1:4" x14ac:dyDescent="0.3">
      <c r="A35" t="s">
        <v>16</v>
      </c>
      <c r="B35" t="s">
        <v>6</v>
      </c>
      <c r="C35">
        <v>9</v>
      </c>
      <c r="D35">
        <v>20</v>
      </c>
    </row>
    <row r="36" spans="1:4" x14ac:dyDescent="0.3">
      <c r="A36" t="s">
        <v>16</v>
      </c>
      <c r="B36" t="s">
        <v>7</v>
      </c>
      <c r="C36">
        <v>2</v>
      </c>
      <c r="D36">
        <v>100</v>
      </c>
    </row>
    <row r="37" spans="1:4" x14ac:dyDescent="0.3">
      <c r="A37" t="s">
        <v>16</v>
      </c>
      <c r="B37" t="s">
        <v>8</v>
      </c>
      <c r="C37">
        <v>1</v>
      </c>
      <c r="D37">
        <v>1</v>
      </c>
    </row>
    <row r="38" spans="1:4" x14ac:dyDescent="0.3">
      <c r="A38" t="s">
        <v>17</v>
      </c>
      <c r="B38" t="s">
        <v>5</v>
      </c>
      <c r="C38">
        <v>0</v>
      </c>
      <c r="D38">
        <v>10</v>
      </c>
    </row>
    <row r="39" spans="1:4" x14ac:dyDescent="0.3">
      <c r="A39" t="s">
        <v>17</v>
      </c>
      <c r="B39" t="s">
        <v>6</v>
      </c>
      <c r="C39">
        <v>1</v>
      </c>
      <c r="D39">
        <v>20</v>
      </c>
    </row>
    <row r="40" spans="1:4" x14ac:dyDescent="0.3">
      <c r="A40" t="s">
        <v>17</v>
      </c>
      <c r="B40" t="s">
        <v>7</v>
      </c>
      <c r="C40">
        <v>75</v>
      </c>
      <c r="D40">
        <v>100</v>
      </c>
    </row>
    <row r="41" spans="1:4" x14ac:dyDescent="0.3">
      <c r="A41" t="s">
        <v>17</v>
      </c>
      <c r="B41" t="s">
        <v>8</v>
      </c>
      <c r="C41">
        <v>0</v>
      </c>
      <c r="D41">
        <v>1</v>
      </c>
    </row>
    <row r="42" spans="1:4" x14ac:dyDescent="0.3">
      <c r="A42" t="s">
        <v>18</v>
      </c>
      <c r="B42" t="s">
        <v>5</v>
      </c>
      <c r="C42">
        <v>5</v>
      </c>
      <c r="D42">
        <v>10</v>
      </c>
    </row>
    <row r="43" spans="1:4" x14ac:dyDescent="0.3">
      <c r="A43" t="s">
        <v>18</v>
      </c>
      <c r="B43" t="s">
        <v>6</v>
      </c>
      <c r="C43">
        <v>17</v>
      </c>
      <c r="D43">
        <v>20</v>
      </c>
    </row>
    <row r="44" spans="1:4" x14ac:dyDescent="0.3">
      <c r="A44" t="s">
        <v>18</v>
      </c>
      <c r="B44" t="s">
        <v>7</v>
      </c>
      <c r="C44">
        <v>59</v>
      </c>
      <c r="D44">
        <v>100</v>
      </c>
    </row>
    <row r="45" spans="1:4" x14ac:dyDescent="0.3">
      <c r="A45" t="s">
        <v>18</v>
      </c>
      <c r="B45" t="s">
        <v>8</v>
      </c>
      <c r="C45">
        <v>0</v>
      </c>
      <c r="D45">
        <v>1</v>
      </c>
    </row>
    <row r="46" spans="1:4" x14ac:dyDescent="0.3">
      <c r="A46" t="s">
        <v>19</v>
      </c>
      <c r="B46" t="s">
        <v>5</v>
      </c>
      <c r="C46">
        <v>7</v>
      </c>
      <c r="D46">
        <v>10</v>
      </c>
    </row>
    <row r="47" spans="1:4" x14ac:dyDescent="0.3">
      <c r="A47" t="s">
        <v>19</v>
      </c>
      <c r="B47" t="s">
        <v>6</v>
      </c>
      <c r="C47">
        <v>6</v>
      </c>
      <c r="D47">
        <v>20</v>
      </c>
    </row>
    <row r="48" spans="1:4" x14ac:dyDescent="0.3">
      <c r="A48" t="s">
        <v>19</v>
      </c>
      <c r="B48" t="s">
        <v>7</v>
      </c>
      <c r="C48">
        <v>100</v>
      </c>
      <c r="D48">
        <v>100</v>
      </c>
    </row>
    <row r="49" spans="1:4" x14ac:dyDescent="0.3">
      <c r="A49" t="s">
        <v>19</v>
      </c>
      <c r="B49" t="s">
        <v>8</v>
      </c>
      <c r="C49">
        <v>1</v>
      </c>
      <c r="D49">
        <v>1</v>
      </c>
    </row>
    <row r="50" spans="1:4" x14ac:dyDescent="0.3">
      <c r="A50" t="s">
        <v>20</v>
      </c>
      <c r="B50" t="s">
        <v>5</v>
      </c>
      <c r="C50">
        <v>11</v>
      </c>
      <c r="D50">
        <v>10</v>
      </c>
    </row>
    <row r="51" spans="1:4" x14ac:dyDescent="0.3">
      <c r="A51" t="s">
        <v>20</v>
      </c>
      <c r="B51" t="s">
        <v>6</v>
      </c>
      <c r="C51">
        <v>11</v>
      </c>
      <c r="D51">
        <v>20</v>
      </c>
    </row>
    <row r="52" spans="1:4" x14ac:dyDescent="0.3">
      <c r="A52" t="s">
        <v>20</v>
      </c>
      <c r="B52" t="s">
        <v>7</v>
      </c>
      <c r="C52">
        <v>41</v>
      </c>
      <c r="D52">
        <v>100</v>
      </c>
    </row>
    <row r="53" spans="1:4" x14ac:dyDescent="0.3">
      <c r="A53" t="s">
        <v>20</v>
      </c>
      <c r="B53" t="s">
        <v>8</v>
      </c>
      <c r="C53">
        <v>0</v>
      </c>
      <c r="D53">
        <v>1</v>
      </c>
    </row>
    <row r="54" spans="1:4" x14ac:dyDescent="0.3">
      <c r="A54" t="s">
        <v>21</v>
      </c>
      <c r="B54" t="s">
        <v>5</v>
      </c>
      <c r="C54">
        <v>9</v>
      </c>
      <c r="D54">
        <v>10</v>
      </c>
    </row>
    <row r="55" spans="1:4" x14ac:dyDescent="0.3">
      <c r="A55" t="s">
        <v>21</v>
      </c>
      <c r="B55" t="s">
        <v>6</v>
      </c>
      <c r="C55">
        <v>8</v>
      </c>
      <c r="D55">
        <v>20</v>
      </c>
    </row>
    <row r="56" spans="1:4" x14ac:dyDescent="0.3">
      <c r="A56" t="s">
        <v>21</v>
      </c>
      <c r="B56" t="s">
        <v>7</v>
      </c>
      <c r="C56">
        <v>19</v>
      </c>
      <c r="D56">
        <v>100</v>
      </c>
    </row>
    <row r="57" spans="1:4" x14ac:dyDescent="0.3">
      <c r="A57" t="s">
        <v>21</v>
      </c>
      <c r="B57" t="s">
        <v>8</v>
      </c>
      <c r="C57">
        <v>0</v>
      </c>
      <c r="D57">
        <v>1</v>
      </c>
    </row>
    <row r="58" spans="1:4" x14ac:dyDescent="0.3">
      <c r="A58" t="s">
        <v>22</v>
      </c>
      <c r="B58" t="s">
        <v>5</v>
      </c>
      <c r="C58">
        <v>1</v>
      </c>
      <c r="D58">
        <v>10</v>
      </c>
    </row>
    <row r="59" spans="1:4" x14ac:dyDescent="0.3">
      <c r="A59" t="s">
        <v>22</v>
      </c>
      <c r="B59" t="s">
        <v>6</v>
      </c>
      <c r="C59">
        <v>18</v>
      </c>
      <c r="D59">
        <v>20</v>
      </c>
    </row>
    <row r="60" spans="1:4" x14ac:dyDescent="0.3">
      <c r="A60" t="s">
        <v>22</v>
      </c>
      <c r="B60" t="s">
        <v>7</v>
      </c>
      <c r="C60">
        <v>87</v>
      </c>
      <c r="D60">
        <v>100</v>
      </c>
    </row>
    <row r="61" spans="1:4" x14ac:dyDescent="0.3">
      <c r="A61" t="s">
        <v>22</v>
      </c>
      <c r="B61" t="s">
        <v>8</v>
      </c>
      <c r="C61">
        <v>1</v>
      </c>
      <c r="D61">
        <v>1</v>
      </c>
    </row>
    <row r="62" spans="1:4" x14ac:dyDescent="0.3">
      <c r="A62" t="s">
        <v>23</v>
      </c>
      <c r="B62" t="s">
        <v>5</v>
      </c>
      <c r="C62">
        <v>4</v>
      </c>
      <c r="D62">
        <v>10</v>
      </c>
    </row>
    <row r="63" spans="1:4" x14ac:dyDescent="0.3">
      <c r="A63" t="s">
        <v>23</v>
      </c>
      <c r="B63" t="s">
        <v>6</v>
      </c>
      <c r="C63">
        <v>2</v>
      </c>
      <c r="D63">
        <v>20</v>
      </c>
    </row>
    <row r="64" spans="1:4" x14ac:dyDescent="0.3">
      <c r="A64" t="s">
        <v>23</v>
      </c>
      <c r="B64" t="s">
        <v>7</v>
      </c>
      <c r="C64">
        <v>63</v>
      </c>
      <c r="D64">
        <v>100</v>
      </c>
    </row>
    <row r="65" spans="1:4" x14ac:dyDescent="0.3">
      <c r="A65" t="s">
        <v>23</v>
      </c>
      <c r="B65" t="s">
        <v>8</v>
      </c>
      <c r="C65">
        <v>0</v>
      </c>
      <c r="D65">
        <v>1</v>
      </c>
    </row>
    <row r="66" spans="1:4" x14ac:dyDescent="0.3">
      <c r="A66" t="s">
        <v>24</v>
      </c>
      <c r="B66" t="s">
        <v>5</v>
      </c>
      <c r="C66">
        <v>6</v>
      </c>
      <c r="D66">
        <v>10</v>
      </c>
    </row>
    <row r="67" spans="1:4" x14ac:dyDescent="0.3">
      <c r="A67" t="s">
        <v>24</v>
      </c>
      <c r="B67" t="s">
        <v>6</v>
      </c>
      <c r="C67">
        <v>15</v>
      </c>
      <c r="D67">
        <v>20</v>
      </c>
    </row>
    <row r="68" spans="1:4" x14ac:dyDescent="0.3">
      <c r="A68" t="s">
        <v>24</v>
      </c>
      <c r="B68" t="s">
        <v>7</v>
      </c>
      <c r="C68">
        <v>8</v>
      </c>
      <c r="D68">
        <v>100</v>
      </c>
    </row>
    <row r="69" spans="1:4" x14ac:dyDescent="0.3">
      <c r="A69" t="s">
        <v>24</v>
      </c>
      <c r="B69" t="s">
        <v>8</v>
      </c>
      <c r="C69">
        <v>1</v>
      </c>
      <c r="D69">
        <v>1</v>
      </c>
    </row>
    <row r="70" spans="1:4" x14ac:dyDescent="0.3">
      <c r="A70" t="s">
        <v>25</v>
      </c>
      <c r="B70" t="s">
        <v>5</v>
      </c>
      <c r="C70">
        <v>8</v>
      </c>
      <c r="D70">
        <v>10</v>
      </c>
    </row>
    <row r="71" spans="1:4" x14ac:dyDescent="0.3">
      <c r="A71" t="s">
        <v>25</v>
      </c>
      <c r="B71" t="s">
        <v>6</v>
      </c>
      <c r="C71">
        <v>8</v>
      </c>
      <c r="D71">
        <v>20</v>
      </c>
    </row>
    <row r="72" spans="1:4" x14ac:dyDescent="0.3">
      <c r="A72" t="s">
        <v>25</v>
      </c>
      <c r="B72" t="s">
        <v>7</v>
      </c>
      <c r="C72">
        <v>52</v>
      </c>
      <c r="D72">
        <v>100</v>
      </c>
    </row>
    <row r="73" spans="1:4" x14ac:dyDescent="0.3">
      <c r="A73" t="s">
        <v>25</v>
      </c>
      <c r="B73" t="s">
        <v>8</v>
      </c>
      <c r="C73">
        <v>1</v>
      </c>
      <c r="D73">
        <v>1</v>
      </c>
    </row>
    <row r="74" spans="1:4" x14ac:dyDescent="0.3">
      <c r="A74" t="s">
        <v>26</v>
      </c>
      <c r="B74" t="s">
        <v>5</v>
      </c>
      <c r="C74">
        <v>3</v>
      </c>
      <c r="D74">
        <v>10</v>
      </c>
    </row>
    <row r="75" spans="1:4" x14ac:dyDescent="0.3">
      <c r="A75" t="s">
        <v>26</v>
      </c>
      <c r="B75" t="s">
        <v>6</v>
      </c>
      <c r="C75">
        <v>13</v>
      </c>
      <c r="D75">
        <v>20</v>
      </c>
    </row>
    <row r="76" spans="1:4" x14ac:dyDescent="0.3">
      <c r="A76" t="s">
        <v>26</v>
      </c>
      <c r="B76" t="s">
        <v>7</v>
      </c>
      <c r="C76">
        <v>29</v>
      </c>
      <c r="D76">
        <v>100</v>
      </c>
    </row>
    <row r="77" spans="1:4" x14ac:dyDescent="0.3">
      <c r="A77" t="s">
        <v>26</v>
      </c>
      <c r="B77" t="s">
        <v>8</v>
      </c>
      <c r="C77">
        <v>0</v>
      </c>
      <c r="D77">
        <v>1</v>
      </c>
    </row>
    <row r="78" spans="1:4" x14ac:dyDescent="0.3">
      <c r="A78" t="s">
        <v>27</v>
      </c>
      <c r="B78" t="s">
        <v>5</v>
      </c>
      <c r="C78">
        <v>0</v>
      </c>
      <c r="D78">
        <v>10</v>
      </c>
    </row>
    <row r="79" spans="1:4" x14ac:dyDescent="0.3">
      <c r="A79" t="s">
        <v>27</v>
      </c>
      <c r="B79" t="s">
        <v>6</v>
      </c>
      <c r="C79">
        <v>10</v>
      </c>
      <c r="D79">
        <v>20</v>
      </c>
    </row>
    <row r="80" spans="1:4" x14ac:dyDescent="0.3">
      <c r="A80" t="s">
        <v>27</v>
      </c>
      <c r="B80" t="s">
        <v>7</v>
      </c>
      <c r="C80">
        <v>94</v>
      </c>
      <c r="D80">
        <v>100</v>
      </c>
    </row>
    <row r="81" spans="1:4" x14ac:dyDescent="0.3">
      <c r="A81" t="s">
        <v>27</v>
      </c>
      <c r="B81" t="s">
        <v>8</v>
      </c>
      <c r="C81">
        <v>1</v>
      </c>
      <c r="D81">
        <v>1</v>
      </c>
    </row>
    <row r="82" spans="1:4" x14ac:dyDescent="0.3">
      <c r="A82" t="s">
        <v>28</v>
      </c>
      <c r="B82" t="s">
        <v>5</v>
      </c>
      <c r="C82">
        <v>10</v>
      </c>
      <c r="D82">
        <v>10</v>
      </c>
    </row>
    <row r="83" spans="1:4" x14ac:dyDescent="0.3">
      <c r="A83" t="s">
        <v>28</v>
      </c>
      <c r="B83" t="s">
        <v>6</v>
      </c>
      <c r="C83">
        <v>16</v>
      </c>
      <c r="D83">
        <v>20</v>
      </c>
    </row>
    <row r="84" spans="1:4" x14ac:dyDescent="0.3">
      <c r="A84" t="s">
        <v>28</v>
      </c>
      <c r="B84" t="s">
        <v>7</v>
      </c>
      <c r="C84">
        <v>16</v>
      </c>
      <c r="D84">
        <v>100</v>
      </c>
    </row>
    <row r="85" spans="1:4" x14ac:dyDescent="0.3">
      <c r="A85" t="s">
        <v>28</v>
      </c>
      <c r="B85" t="s">
        <v>8</v>
      </c>
      <c r="C85">
        <v>0</v>
      </c>
      <c r="D85">
        <v>1</v>
      </c>
    </row>
    <row r="86" spans="1:4" x14ac:dyDescent="0.3">
      <c r="A86" t="s">
        <v>29</v>
      </c>
      <c r="B86" t="s">
        <v>5</v>
      </c>
      <c r="C86">
        <v>5</v>
      </c>
      <c r="D86">
        <v>10</v>
      </c>
    </row>
    <row r="87" spans="1:4" x14ac:dyDescent="0.3">
      <c r="A87" t="s">
        <v>29</v>
      </c>
      <c r="B87" t="s">
        <v>6</v>
      </c>
      <c r="C87">
        <v>7</v>
      </c>
      <c r="D87">
        <v>20</v>
      </c>
    </row>
    <row r="88" spans="1:4" x14ac:dyDescent="0.3">
      <c r="A88" t="s">
        <v>29</v>
      </c>
      <c r="B88" t="s">
        <v>7</v>
      </c>
      <c r="C88">
        <v>70</v>
      </c>
      <c r="D88">
        <v>100</v>
      </c>
    </row>
    <row r="89" spans="1:4" x14ac:dyDescent="0.3">
      <c r="A89" t="s">
        <v>29</v>
      </c>
      <c r="B89" t="s">
        <v>8</v>
      </c>
      <c r="C89">
        <v>0</v>
      </c>
      <c r="D89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51BD1-BA1A-4BC8-8D8F-C4511802282E}">
  <dimension ref="A1:J89"/>
  <sheetViews>
    <sheetView zoomScaleNormal="100" workbookViewId="0">
      <selection activeCell="H2" sqref="H2"/>
    </sheetView>
  </sheetViews>
  <sheetFormatPr defaultRowHeight="14.4" x14ac:dyDescent="0.3"/>
  <cols>
    <col min="1" max="1" width="19.88671875" bestFit="1" customWidth="1"/>
    <col min="2" max="2" width="18.109375" bestFit="1" customWidth="1"/>
    <col min="3" max="3" width="5.44140625" bestFit="1" customWidth="1"/>
    <col min="4" max="4" width="9.88671875" bestFit="1" customWidth="1"/>
    <col min="5" max="5" width="10.109375" bestFit="1" customWidth="1"/>
    <col min="6" max="6" width="21.6640625" bestFit="1" customWidth="1"/>
    <col min="7" max="7" width="14.88671875" bestFit="1" customWidth="1"/>
    <col min="8" max="8" width="16.77734375" bestFit="1" customWidth="1"/>
    <col min="9" max="9" width="5.5546875" bestFit="1" customWidth="1"/>
    <col min="10" max="10" width="7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30</v>
      </c>
      <c r="F1" t="s">
        <v>31</v>
      </c>
      <c r="G1" t="s">
        <v>34</v>
      </c>
      <c r="H1" t="s">
        <v>47</v>
      </c>
      <c r="I1" t="s">
        <v>32</v>
      </c>
      <c r="J1" t="s">
        <v>33</v>
      </c>
    </row>
    <row r="2" spans="1:10" x14ac:dyDescent="0.3">
      <c r="A2" t="str" cm="1">
        <f t="array" ref="A2:D89">Table1[]</f>
        <v>Samuel Rachene</v>
      </c>
      <c r="B2" t="str">
        <v>Safety</v>
      </c>
      <c r="C2">
        <v>9</v>
      </c>
      <c r="D2">
        <v>10</v>
      </c>
      <c r="E2" s="1">
        <f>C2/D2</f>
        <v>0.9</v>
      </c>
      <c r="F2">
        <f>SUMIF(A:A,A2,C:C)</f>
        <v>107</v>
      </c>
      <c r="G2">
        <f>SUMIF(A:A,A2,D:D)</f>
        <v>131</v>
      </c>
      <c r="H2" s="1">
        <f>F2/G2</f>
        <v>0.81679389312977102</v>
      </c>
      <c r="I2" t="str">
        <f>IF(F2&gt;=90,"A",IF(F2&gt;=75,"B",IF(F2&gt;=60,"C",IF(F2&gt;=40,"D","F"))))</f>
        <v>A</v>
      </c>
      <c r="J2" t="str">
        <f>IF(H2&gt;=50%,"Pass","Fail")</f>
        <v>Pass</v>
      </c>
    </row>
    <row r="3" spans="1:10" x14ac:dyDescent="0.3">
      <c r="A3" t="str">
        <v>Samuel Rachene</v>
      </c>
      <c r="B3" t="str">
        <v>Company Philosophy</v>
      </c>
      <c r="C3">
        <v>14</v>
      </c>
      <c r="D3">
        <v>20</v>
      </c>
      <c r="E3" s="1">
        <f t="shared" ref="E3:E66" si="0">C3/D3</f>
        <v>0.7</v>
      </c>
      <c r="F3">
        <f t="shared" ref="F3:F66" si="1">SUMIF(A:A,A3,C:C)</f>
        <v>107</v>
      </c>
      <c r="G3">
        <f t="shared" ref="G3:G66" si="2">SUMIF(A:A,A3,D:D)</f>
        <v>131</v>
      </c>
      <c r="H3" s="1">
        <f t="shared" ref="H3:H66" si="3">F3/G3</f>
        <v>0.81679389312977102</v>
      </c>
      <c r="I3" t="str">
        <f>IF(F3&gt;=90,"A",IF(F3&gt;=75,"B",IF(F3&gt;=60,"C",IF(F3&gt;=40,"D","F"))))</f>
        <v>A</v>
      </c>
      <c r="J3" t="str">
        <f t="shared" ref="J3:J66" si="4">IF(H3&gt;=50%,"Pass","Fail")</f>
        <v>Pass</v>
      </c>
    </row>
    <row r="4" spans="1:10" x14ac:dyDescent="0.3">
      <c r="A4" t="str">
        <v>Samuel Rachene</v>
      </c>
      <c r="B4" t="str">
        <v>Financial Skills</v>
      </c>
      <c r="C4">
        <v>83</v>
      </c>
      <c r="D4">
        <v>100</v>
      </c>
      <c r="E4" s="1">
        <f t="shared" si="0"/>
        <v>0.83</v>
      </c>
      <c r="F4">
        <f t="shared" si="1"/>
        <v>107</v>
      </c>
      <c r="G4">
        <f t="shared" si="2"/>
        <v>131</v>
      </c>
      <c r="H4" s="1">
        <f t="shared" si="3"/>
        <v>0.81679389312977102</v>
      </c>
      <c r="I4" t="str">
        <f>IF(F4&gt;=90,"A",IF(F4&gt;=75,"B",IF(F4&gt;=60,"C",IF(F4&gt;=40,"D","F"))))</f>
        <v>A</v>
      </c>
      <c r="J4" t="str">
        <f t="shared" si="4"/>
        <v>Pass</v>
      </c>
    </row>
    <row r="5" spans="1:10" x14ac:dyDescent="0.3">
      <c r="A5" t="str">
        <v>Samuel Rachene</v>
      </c>
      <c r="B5" t="str">
        <v>Drug Test</v>
      </c>
      <c r="C5">
        <v>1</v>
      </c>
      <c r="D5">
        <v>1</v>
      </c>
      <c r="E5" s="1">
        <f t="shared" si="0"/>
        <v>1</v>
      </c>
      <c r="F5">
        <f t="shared" si="1"/>
        <v>107</v>
      </c>
      <c r="G5">
        <f t="shared" si="2"/>
        <v>131</v>
      </c>
      <c r="H5" s="1">
        <f t="shared" si="3"/>
        <v>0.81679389312977102</v>
      </c>
      <c r="I5" t="str">
        <f>IF(F5&gt;=90,"A",IF(F5&gt;=75,"B",IF(F5&gt;=60,"C",IF(F5&gt;=40,"D","F"))))</f>
        <v>A</v>
      </c>
      <c r="J5" t="str">
        <f t="shared" si="4"/>
        <v>Pass</v>
      </c>
    </row>
    <row r="6" spans="1:10" x14ac:dyDescent="0.3">
      <c r="A6" t="str">
        <v>Eugena Esser</v>
      </c>
      <c r="B6" t="str">
        <v>Safety</v>
      </c>
      <c r="C6">
        <v>2</v>
      </c>
      <c r="D6">
        <v>10</v>
      </c>
      <c r="E6" s="1">
        <f t="shared" si="0"/>
        <v>0.2</v>
      </c>
      <c r="F6">
        <f t="shared" si="1"/>
        <v>17</v>
      </c>
      <c r="G6">
        <f t="shared" si="2"/>
        <v>131</v>
      </c>
      <c r="H6" s="1">
        <f t="shared" si="3"/>
        <v>0.12977099236641221</v>
      </c>
      <c r="I6" t="str">
        <f>IF(F6&gt;=90,"A",IF(F6&gt;=75,"B",IF(F6&gt;=60,"C",IF(F6&gt;=40,"D","F"))))</f>
        <v>F</v>
      </c>
      <c r="J6" t="str">
        <f t="shared" si="4"/>
        <v>Fail</v>
      </c>
    </row>
    <row r="7" spans="1:10" x14ac:dyDescent="0.3">
      <c r="A7" t="str">
        <v>Eugena Esser</v>
      </c>
      <c r="B7" t="str">
        <v>Company Philosophy</v>
      </c>
      <c r="C7">
        <v>3</v>
      </c>
      <c r="D7">
        <v>20</v>
      </c>
      <c r="E7" s="1">
        <f t="shared" si="0"/>
        <v>0.15</v>
      </c>
      <c r="F7">
        <f t="shared" si="1"/>
        <v>17</v>
      </c>
      <c r="G7">
        <f t="shared" si="2"/>
        <v>131</v>
      </c>
      <c r="H7" s="1">
        <f t="shared" si="3"/>
        <v>0.12977099236641221</v>
      </c>
      <c r="I7" t="str">
        <f>IF(F7&gt;=90,"A",IF(F7&gt;=75,"B",IF(F7&gt;=60,"C",IF(F7&gt;=40,"D","F"))))</f>
        <v>F</v>
      </c>
      <c r="J7" t="str">
        <f t="shared" si="4"/>
        <v>Fail</v>
      </c>
    </row>
    <row r="8" spans="1:10" x14ac:dyDescent="0.3">
      <c r="A8" t="str">
        <v>Eugena Esser</v>
      </c>
      <c r="B8" t="str">
        <v>Financial Skills</v>
      </c>
      <c r="C8">
        <v>12</v>
      </c>
      <c r="D8">
        <v>100</v>
      </c>
      <c r="E8" s="1">
        <f t="shared" si="0"/>
        <v>0.12</v>
      </c>
      <c r="F8">
        <f t="shared" si="1"/>
        <v>17</v>
      </c>
      <c r="G8">
        <f t="shared" si="2"/>
        <v>131</v>
      </c>
      <c r="H8" s="1">
        <f t="shared" si="3"/>
        <v>0.12977099236641221</v>
      </c>
      <c r="I8" t="str">
        <f>IF(F8&gt;=90,"A",IF(F8&gt;=75,"B",IF(F8&gt;=60,"C",IF(F8&gt;=40,"D","F"))))</f>
        <v>F</v>
      </c>
      <c r="J8" t="str">
        <f t="shared" si="4"/>
        <v>Fail</v>
      </c>
    </row>
    <row r="9" spans="1:10" x14ac:dyDescent="0.3">
      <c r="A9" t="str">
        <v>Eugena Esser</v>
      </c>
      <c r="B9" t="str">
        <v>Drug Test</v>
      </c>
      <c r="C9">
        <v>0</v>
      </c>
      <c r="D9">
        <v>1</v>
      </c>
      <c r="E9" s="1">
        <f t="shared" si="0"/>
        <v>0</v>
      </c>
      <c r="F9">
        <f t="shared" si="1"/>
        <v>17</v>
      </c>
      <c r="G9">
        <f t="shared" si="2"/>
        <v>131</v>
      </c>
      <c r="H9" s="1">
        <f t="shared" si="3"/>
        <v>0.12977099236641221</v>
      </c>
      <c r="I9" t="str">
        <f>IF(F9&gt;=90,"A",IF(F9&gt;=75,"B",IF(F9&gt;=60,"C",IF(F9&gt;=40,"D","F"))))</f>
        <v>F</v>
      </c>
      <c r="J9" t="str">
        <f t="shared" si="4"/>
        <v>Fail</v>
      </c>
    </row>
    <row r="10" spans="1:10" x14ac:dyDescent="0.3">
      <c r="A10" t="str">
        <v>Michel Averette</v>
      </c>
      <c r="B10" t="str">
        <v>Safety</v>
      </c>
      <c r="C10">
        <v>7</v>
      </c>
      <c r="D10">
        <v>10</v>
      </c>
      <c r="E10" s="1">
        <f t="shared" si="0"/>
        <v>0.7</v>
      </c>
      <c r="F10">
        <f t="shared" si="1"/>
        <v>74</v>
      </c>
      <c r="G10">
        <f t="shared" si="2"/>
        <v>131</v>
      </c>
      <c r="H10" s="1">
        <f t="shared" si="3"/>
        <v>0.56488549618320616</v>
      </c>
      <c r="I10" t="str">
        <f>IF(F10&gt;=90,"A",IF(F10&gt;=75,"B",IF(F10&gt;=60,"C",IF(F10&gt;=40,"D","F"))))</f>
        <v>C</v>
      </c>
      <c r="J10" t="str">
        <f t="shared" si="4"/>
        <v>Pass</v>
      </c>
    </row>
    <row r="11" spans="1:10" x14ac:dyDescent="0.3">
      <c r="A11" t="str">
        <v>Michel Averette</v>
      </c>
      <c r="B11" t="str">
        <v>Company Philosophy</v>
      </c>
      <c r="C11">
        <v>19</v>
      </c>
      <c r="D11">
        <v>20</v>
      </c>
      <c r="E11" s="1">
        <f t="shared" si="0"/>
        <v>0.95</v>
      </c>
      <c r="F11">
        <f t="shared" si="1"/>
        <v>74</v>
      </c>
      <c r="G11">
        <f t="shared" si="2"/>
        <v>131</v>
      </c>
      <c r="H11" s="1">
        <f t="shared" si="3"/>
        <v>0.56488549618320616</v>
      </c>
      <c r="I11" t="str">
        <f>IF(F11&gt;=90,"A",IF(F11&gt;=75,"B",IF(F11&gt;=60,"C",IF(F11&gt;=40,"D","F"))))</f>
        <v>C</v>
      </c>
      <c r="J11" t="str">
        <f t="shared" si="4"/>
        <v>Pass</v>
      </c>
    </row>
    <row r="12" spans="1:10" x14ac:dyDescent="0.3">
      <c r="A12" t="str">
        <v>Michel Averette</v>
      </c>
      <c r="B12" t="str">
        <v>Financial Skills</v>
      </c>
      <c r="C12">
        <v>47</v>
      </c>
      <c r="D12">
        <v>100</v>
      </c>
      <c r="E12" s="1">
        <f t="shared" si="0"/>
        <v>0.47</v>
      </c>
      <c r="F12">
        <f t="shared" si="1"/>
        <v>74</v>
      </c>
      <c r="G12">
        <f t="shared" si="2"/>
        <v>131</v>
      </c>
      <c r="H12" s="1">
        <f t="shared" si="3"/>
        <v>0.56488549618320616</v>
      </c>
      <c r="I12" t="str">
        <f>IF(F12&gt;=90,"A",IF(F12&gt;=75,"B",IF(F12&gt;=60,"C",IF(F12&gt;=40,"D","F"))))</f>
        <v>C</v>
      </c>
      <c r="J12" t="str">
        <f t="shared" si="4"/>
        <v>Pass</v>
      </c>
    </row>
    <row r="13" spans="1:10" x14ac:dyDescent="0.3">
      <c r="A13" t="str">
        <v>Michel Averette</v>
      </c>
      <c r="B13" t="str">
        <v>Drug Test</v>
      </c>
      <c r="C13">
        <v>1</v>
      </c>
      <c r="D13">
        <v>1</v>
      </c>
      <c r="E13" s="1">
        <f t="shared" si="0"/>
        <v>1</v>
      </c>
      <c r="F13">
        <f t="shared" si="1"/>
        <v>74</v>
      </c>
      <c r="G13">
        <f t="shared" si="2"/>
        <v>131</v>
      </c>
      <c r="H13" s="1">
        <f t="shared" si="3"/>
        <v>0.56488549618320616</v>
      </c>
      <c r="I13" t="str">
        <f>IF(F13&gt;=90,"A",IF(F13&gt;=75,"B",IF(F13&gt;=60,"C",IF(F13&gt;=40,"D","F"))))</f>
        <v>C</v>
      </c>
      <c r="J13" t="str">
        <f t="shared" si="4"/>
        <v>Pass</v>
      </c>
    </row>
    <row r="14" spans="1:10" x14ac:dyDescent="0.3">
      <c r="A14" t="str">
        <v>Renetta Carew</v>
      </c>
      <c r="B14" t="str">
        <v>Safety</v>
      </c>
      <c r="C14">
        <v>4</v>
      </c>
      <c r="D14">
        <v>10</v>
      </c>
      <c r="E14" s="1">
        <f t="shared" si="0"/>
        <v>0.4</v>
      </c>
      <c r="F14">
        <f t="shared" si="1"/>
        <v>17</v>
      </c>
      <c r="G14">
        <f t="shared" si="2"/>
        <v>131</v>
      </c>
      <c r="H14" s="1">
        <f t="shared" si="3"/>
        <v>0.12977099236641221</v>
      </c>
      <c r="I14" t="str">
        <f>IF(F14&gt;=90,"A",IF(F14&gt;=75,"B",IF(F14&gt;=60,"C",IF(F14&gt;=40,"D","F"))))</f>
        <v>F</v>
      </c>
      <c r="J14" t="str">
        <f t="shared" si="4"/>
        <v>Fail</v>
      </c>
    </row>
    <row r="15" spans="1:10" x14ac:dyDescent="0.3">
      <c r="A15" t="str">
        <v>Renetta Carew</v>
      </c>
      <c r="B15" t="str">
        <v>Company Philosophy</v>
      </c>
      <c r="C15">
        <v>7</v>
      </c>
      <c r="D15">
        <v>20</v>
      </c>
      <c r="E15" s="1">
        <f t="shared" si="0"/>
        <v>0.35</v>
      </c>
      <c r="F15">
        <f t="shared" si="1"/>
        <v>17</v>
      </c>
      <c r="G15">
        <f t="shared" si="2"/>
        <v>131</v>
      </c>
      <c r="H15" s="1">
        <f t="shared" si="3"/>
        <v>0.12977099236641221</v>
      </c>
      <c r="I15" t="str">
        <f>IF(F15&gt;=90,"A",IF(F15&gt;=75,"B",IF(F15&gt;=60,"C",IF(F15&gt;=40,"D","F"))))</f>
        <v>F</v>
      </c>
      <c r="J15" t="str">
        <f t="shared" si="4"/>
        <v>Fail</v>
      </c>
    </row>
    <row r="16" spans="1:10" x14ac:dyDescent="0.3">
      <c r="A16" t="str">
        <v>Renetta Carew</v>
      </c>
      <c r="B16" t="str">
        <v>Financial Skills</v>
      </c>
      <c r="C16">
        <v>5</v>
      </c>
      <c r="D16">
        <v>100</v>
      </c>
      <c r="E16" s="1">
        <f t="shared" si="0"/>
        <v>0.05</v>
      </c>
      <c r="F16">
        <f t="shared" si="1"/>
        <v>17</v>
      </c>
      <c r="G16">
        <f t="shared" si="2"/>
        <v>131</v>
      </c>
      <c r="H16" s="1">
        <f t="shared" si="3"/>
        <v>0.12977099236641221</v>
      </c>
      <c r="I16" t="str">
        <f>IF(F16&gt;=90,"A",IF(F16&gt;=75,"B",IF(F16&gt;=60,"C",IF(F16&gt;=40,"D","F"))))</f>
        <v>F</v>
      </c>
      <c r="J16" t="str">
        <f t="shared" si="4"/>
        <v>Fail</v>
      </c>
    </row>
    <row r="17" spans="1:10" x14ac:dyDescent="0.3">
      <c r="A17" t="str">
        <v>Renetta Carew</v>
      </c>
      <c r="B17" t="str">
        <v>Drug Test</v>
      </c>
      <c r="C17">
        <v>1</v>
      </c>
      <c r="D17">
        <v>1</v>
      </c>
      <c r="E17" s="1">
        <f t="shared" si="0"/>
        <v>1</v>
      </c>
      <c r="F17">
        <f t="shared" si="1"/>
        <v>17</v>
      </c>
      <c r="G17">
        <f t="shared" si="2"/>
        <v>131</v>
      </c>
      <c r="H17" s="1">
        <f t="shared" si="3"/>
        <v>0.12977099236641221</v>
      </c>
      <c r="I17" t="str">
        <f>IF(F17&gt;=90,"A",IF(F17&gt;=75,"B",IF(F17&gt;=60,"C",IF(F17&gt;=40,"D","F"))))</f>
        <v>F</v>
      </c>
      <c r="J17" t="str">
        <f t="shared" si="4"/>
        <v>Fail</v>
      </c>
    </row>
    <row r="18" spans="1:10" x14ac:dyDescent="0.3">
      <c r="A18" t="str">
        <v>Cara Clarke</v>
      </c>
      <c r="B18" t="str">
        <v>Safety</v>
      </c>
      <c r="C18">
        <v>10</v>
      </c>
      <c r="D18">
        <v>10</v>
      </c>
      <c r="E18" s="1">
        <f t="shared" si="0"/>
        <v>1</v>
      </c>
      <c r="F18">
        <f t="shared" si="1"/>
        <v>122</v>
      </c>
      <c r="G18">
        <f t="shared" si="2"/>
        <v>131</v>
      </c>
      <c r="H18" s="1">
        <f t="shared" si="3"/>
        <v>0.93129770992366412</v>
      </c>
      <c r="I18" t="str">
        <f>IF(F18&gt;=90,"A",IF(F18&gt;=75,"B",IF(F18&gt;=60,"C",IF(F18&gt;=40,"D","F"))))</f>
        <v>A</v>
      </c>
      <c r="J18" t="str">
        <f t="shared" si="4"/>
        <v>Pass</v>
      </c>
    </row>
    <row r="19" spans="1:10" x14ac:dyDescent="0.3">
      <c r="A19" t="str">
        <v>Cara Clarke</v>
      </c>
      <c r="B19" t="str">
        <v>Company Philosophy</v>
      </c>
      <c r="C19">
        <v>20</v>
      </c>
      <c r="D19">
        <v>20</v>
      </c>
      <c r="E19" s="1">
        <f t="shared" si="0"/>
        <v>1</v>
      </c>
      <c r="F19">
        <f t="shared" si="1"/>
        <v>122</v>
      </c>
      <c r="G19">
        <f t="shared" si="2"/>
        <v>131</v>
      </c>
      <c r="H19" s="1">
        <f t="shared" si="3"/>
        <v>0.93129770992366412</v>
      </c>
      <c r="I19" t="str">
        <f>IF(F19&gt;=90,"A",IF(F19&gt;=75,"B",IF(F19&gt;=60,"C",IF(F19&gt;=40,"D","F"))))</f>
        <v>A</v>
      </c>
      <c r="J19" t="str">
        <f t="shared" si="4"/>
        <v>Pass</v>
      </c>
    </row>
    <row r="20" spans="1:10" x14ac:dyDescent="0.3">
      <c r="A20" t="str">
        <v>Cara Clarke</v>
      </c>
      <c r="B20" t="str">
        <v>Financial Skills</v>
      </c>
      <c r="C20">
        <v>91</v>
      </c>
      <c r="D20">
        <v>100</v>
      </c>
      <c r="E20" s="1">
        <f t="shared" si="0"/>
        <v>0.91</v>
      </c>
      <c r="F20">
        <f t="shared" si="1"/>
        <v>122</v>
      </c>
      <c r="G20">
        <f t="shared" si="2"/>
        <v>131</v>
      </c>
      <c r="H20" s="1">
        <f t="shared" si="3"/>
        <v>0.93129770992366412</v>
      </c>
      <c r="I20" t="str">
        <f>IF(F20&gt;=90,"A",IF(F20&gt;=75,"B",IF(F20&gt;=60,"C",IF(F20&gt;=40,"D","F"))))</f>
        <v>A</v>
      </c>
      <c r="J20" t="str">
        <f t="shared" si="4"/>
        <v>Pass</v>
      </c>
    </row>
    <row r="21" spans="1:10" x14ac:dyDescent="0.3">
      <c r="A21" t="str">
        <v>Cara Clarke</v>
      </c>
      <c r="B21" t="str">
        <v>Drug Test</v>
      </c>
      <c r="C21">
        <v>1</v>
      </c>
      <c r="D21">
        <v>1</v>
      </c>
      <c r="E21" s="1">
        <f t="shared" si="0"/>
        <v>1</v>
      </c>
      <c r="F21">
        <f t="shared" si="1"/>
        <v>122</v>
      </c>
      <c r="G21">
        <f t="shared" si="2"/>
        <v>131</v>
      </c>
      <c r="H21" s="1">
        <f t="shared" si="3"/>
        <v>0.93129770992366412</v>
      </c>
      <c r="I21" t="str">
        <f>IF(F21&gt;=90,"A",IF(F21&gt;=75,"B",IF(F21&gt;=60,"C",IF(F21&gt;=40,"D","F"))))</f>
        <v>A</v>
      </c>
      <c r="J21" t="str">
        <f t="shared" si="4"/>
        <v>Pass</v>
      </c>
    </row>
    <row r="22" spans="1:10" x14ac:dyDescent="0.3">
      <c r="A22" t="str">
        <v>Lavera Oles</v>
      </c>
      <c r="B22" t="str">
        <v>Safety</v>
      </c>
      <c r="C22">
        <v>10</v>
      </c>
      <c r="D22">
        <v>10</v>
      </c>
      <c r="E22" s="1">
        <f t="shared" si="0"/>
        <v>1</v>
      </c>
      <c r="F22">
        <f t="shared" si="1"/>
        <v>48</v>
      </c>
      <c r="G22">
        <f t="shared" si="2"/>
        <v>131</v>
      </c>
      <c r="H22" s="1">
        <f t="shared" si="3"/>
        <v>0.36641221374045801</v>
      </c>
      <c r="I22" t="str">
        <f>IF(F22&gt;=90,"A",IF(F22&gt;=75,"B",IF(F22&gt;=60,"C",IF(F22&gt;=40,"D","F"))))</f>
        <v>D</v>
      </c>
      <c r="J22" t="str">
        <f t="shared" si="4"/>
        <v>Fail</v>
      </c>
    </row>
    <row r="23" spans="1:10" x14ac:dyDescent="0.3">
      <c r="A23" t="str">
        <v>Lavera Oles</v>
      </c>
      <c r="B23" t="str">
        <v>Company Philosophy</v>
      </c>
      <c r="C23">
        <v>12</v>
      </c>
      <c r="D23">
        <v>20</v>
      </c>
      <c r="E23" s="1">
        <f t="shared" si="0"/>
        <v>0.6</v>
      </c>
      <c r="F23">
        <f t="shared" si="1"/>
        <v>48</v>
      </c>
      <c r="G23">
        <f t="shared" si="2"/>
        <v>131</v>
      </c>
      <c r="H23" s="1">
        <f t="shared" si="3"/>
        <v>0.36641221374045801</v>
      </c>
      <c r="I23" t="str">
        <f>IF(F23&gt;=90,"A",IF(F23&gt;=75,"B",IF(F23&gt;=60,"C",IF(F23&gt;=40,"D","F"))))</f>
        <v>D</v>
      </c>
      <c r="J23" t="str">
        <f t="shared" si="4"/>
        <v>Fail</v>
      </c>
    </row>
    <row r="24" spans="1:10" x14ac:dyDescent="0.3">
      <c r="A24" t="str">
        <v>Lavera Oles</v>
      </c>
      <c r="B24" t="str">
        <v>Financial Skills</v>
      </c>
      <c r="C24">
        <v>26</v>
      </c>
      <c r="D24">
        <v>100</v>
      </c>
      <c r="E24" s="1">
        <f t="shared" si="0"/>
        <v>0.26</v>
      </c>
      <c r="F24">
        <f t="shared" si="1"/>
        <v>48</v>
      </c>
      <c r="G24">
        <f t="shared" si="2"/>
        <v>131</v>
      </c>
      <c r="H24" s="1">
        <f t="shared" si="3"/>
        <v>0.36641221374045801</v>
      </c>
      <c r="I24" t="str">
        <f>IF(F24&gt;=90,"A",IF(F24&gt;=75,"B",IF(F24&gt;=60,"C",IF(F24&gt;=40,"D","F"))))</f>
        <v>D</v>
      </c>
      <c r="J24" t="str">
        <f t="shared" si="4"/>
        <v>Fail</v>
      </c>
    </row>
    <row r="25" spans="1:10" x14ac:dyDescent="0.3">
      <c r="A25" t="str">
        <v>Lavera Oles</v>
      </c>
      <c r="B25" t="str">
        <v>Drug Test</v>
      </c>
      <c r="C25">
        <v>0</v>
      </c>
      <c r="D25">
        <v>1</v>
      </c>
      <c r="E25" s="1">
        <f t="shared" si="0"/>
        <v>0</v>
      </c>
      <c r="F25">
        <f t="shared" si="1"/>
        <v>48</v>
      </c>
      <c r="G25">
        <f t="shared" si="2"/>
        <v>131</v>
      </c>
      <c r="H25" s="1">
        <f t="shared" si="3"/>
        <v>0.36641221374045801</v>
      </c>
      <c r="I25" t="str">
        <f>IF(F25&gt;=90,"A",IF(F25&gt;=75,"B",IF(F25&gt;=60,"C",IF(F25&gt;=40,"D","F"))))</f>
        <v>D</v>
      </c>
      <c r="J25" t="str">
        <f t="shared" si="4"/>
        <v>Fail</v>
      </c>
    </row>
    <row r="26" spans="1:10" x14ac:dyDescent="0.3">
      <c r="A26" t="str">
        <v>Elba Felder</v>
      </c>
      <c r="B26" t="str">
        <v>Safety</v>
      </c>
      <c r="C26">
        <v>6</v>
      </c>
      <c r="D26">
        <v>10</v>
      </c>
      <c r="E26" s="1">
        <f t="shared" si="0"/>
        <v>0.6</v>
      </c>
      <c r="F26">
        <f t="shared" si="1"/>
        <v>80</v>
      </c>
      <c r="G26">
        <f t="shared" si="2"/>
        <v>131</v>
      </c>
      <c r="H26" s="1">
        <f t="shared" si="3"/>
        <v>0.61068702290076338</v>
      </c>
      <c r="I26" t="str">
        <f>IF(F26&gt;=90,"A",IF(F26&gt;=75,"B",IF(F26&gt;=60,"C",IF(F26&gt;=40,"D","F"))))</f>
        <v>B</v>
      </c>
      <c r="J26" t="str">
        <f t="shared" si="4"/>
        <v>Pass</v>
      </c>
    </row>
    <row r="27" spans="1:10" x14ac:dyDescent="0.3">
      <c r="A27" t="str">
        <v>Elba Felder</v>
      </c>
      <c r="B27" t="str">
        <v>Company Philosophy</v>
      </c>
      <c r="C27">
        <v>5</v>
      </c>
      <c r="D27">
        <v>20</v>
      </c>
      <c r="E27" s="1">
        <f t="shared" si="0"/>
        <v>0.25</v>
      </c>
      <c r="F27">
        <f t="shared" si="1"/>
        <v>80</v>
      </c>
      <c r="G27">
        <f t="shared" si="2"/>
        <v>131</v>
      </c>
      <c r="H27" s="1">
        <f t="shared" si="3"/>
        <v>0.61068702290076338</v>
      </c>
      <c r="I27" t="str">
        <f>IF(F27&gt;=90,"A",IF(F27&gt;=75,"B",IF(F27&gt;=60,"C",IF(F27&gt;=40,"D","F"))))</f>
        <v>B</v>
      </c>
      <c r="J27" t="str">
        <f t="shared" si="4"/>
        <v>Pass</v>
      </c>
    </row>
    <row r="28" spans="1:10" x14ac:dyDescent="0.3">
      <c r="A28" t="str">
        <v>Elba Felder</v>
      </c>
      <c r="B28" t="str">
        <v>Financial Skills</v>
      </c>
      <c r="C28">
        <v>68</v>
      </c>
      <c r="D28">
        <v>100</v>
      </c>
      <c r="E28" s="1">
        <f t="shared" si="0"/>
        <v>0.68</v>
      </c>
      <c r="F28">
        <f t="shared" si="1"/>
        <v>80</v>
      </c>
      <c r="G28">
        <f t="shared" si="2"/>
        <v>131</v>
      </c>
      <c r="H28" s="1">
        <f t="shared" si="3"/>
        <v>0.61068702290076338</v>
      </c>
      <c r="I28" t="str">
        <f>IF(F28&gt;=90,"A",IF(F28&gt;=75,"B",IF(F28&gt;=60,"C",IF(F28&gt;=40,"D","F"))))</f>
        <v>B</v>
      </c>
      <c r="J28" t="str">
        <f t="shared" si="4"/>
        <v>Pass</v>
      </c>
    </row>
    <row r="29" spans="1:10" x14ac:dyDescent="0.3">
      <c r="A29" t="str">
        <v>Elba Felder</v>
      </c>
      <c r="B29" t="str">
        <v>Drug Test</v>
      </c>
      <c r="C29">
        <v>1</v>
      </c>
      <c r="D29">
        <v>1</v>
      </c>
      <c r="E29" s="1">
        <f t="shared" si="0"/>
        <v>1</v>
      </c>
      <c r="F29">
        <f t="shared" si="1"/>
        <v>80</v>
      </c>
      <c r="G29">
        <f t="shared" si="2"/>
        <v>131</v>
      </c>
      <c r="H29" s="1">
        <f t="shared" si="3"/>
        <v>0.61068702290076338</v>
      </c>
      <c r="I29" t="str">
        <f>IF(F29&gt;=90,"A",IF(F29&gt;=75,"B",IF(F29&gt;=60,"C",IF(F29&gt;=40,"D","F"))))</f>
        <v>B</v>
      </c>
      <c r="J29" t="str">
        <f t="shared" si="4"/>
        <v>Pass</v>
      </c>
    </row>
    <row r="30" spans="1:10" x14ac:dyDescent="0.3">
      <c r="A30" t="str">
        <v>Shawanda Selke</v>
      </c>
      <c r="B30" t="str">
        <v>Safety</v>
      </c>
      <c r="C30">
        <v>3</v>
      </c>
      <c r="D30">
        <v>10</v>
      </c>
      <c r="E30" s="1">
        <f t="shared" si="0"/>
        <v>0.3</v>
      </c>
      <c r="F30">
        <f t="shared" si="1"/>
        <v>57</v>
      </c>
      <c r="G30">
        <f t="shared" si="2"/>
        <v>131</v>
      </c>
      <c r="H30" s="1">
        <f t="shared" si="3"/>
        <v>0.4351145038167939</v>
      </c>
      <c r="I30" t="str">
        <f>IF(F30&gt;=90,"A",IF(F30&gt;=75,"B",IF(F30&gt;=60,"C",IF(F30&gt;=40,"D","F"))))</f>
        <v>D</v>
      </c>
      <c r="J30" t="str">
        <f t="shared" si="4"/>
        <v>Fail</v>
      </c>
    </row>
    <row r="31" spans="1:10" x14ac:dyDescent="0.3">
      <c r="A31" t="str">
        <v>Shawanda Selke</v>
      </c>
      <c r="B31" t="str">
        <v>Company Philosophy</v>
      </c>
      <c r="C31">
        <v>20</v>
      </c>
      <c r="D31">
        <v>20</v>
      </c>
      <c r="E31" s="1">
        <f t="shared" si="0"/>
        <v>1</v>
      </c>
      <c r="F31">
        <f t="shared" si="1"/>
        <v>57</v>
      </c>
      <c r="G31">
        <f t="shared" si="2"/>
        <v>131</v>
      </c>
      <c r="H31" s="1">
        <f t="shared" si="3"/>
        <v>0.4351145038167939</v>
      </c>
      <c r="I31" t="str">
        <f>IF(F31&gt;=90,"A",IF(F31&gt;=75,"B",IF(F31&gt;=60,"C",IF(F31&gt;=40,"D","F"))))</f>
        <v>D</v>
      </c>
      <c r="J31" t="str">
        <f t="shared" si="4"/>
        <v>Fail</v>
      </c>
    </row>
    <row r="32" spans="1:10" x14ac:dyDescent="0.3">
      <c r="A32" t="str">
        <v>Shawanda Selke</v>
      </c>
      <c r="B32" t="str">
        <v>Financial Skills</v>
      </c>
      <c r="C32">
        <v>34</v>
      </c>
      <c r="D32">
        <v>100</v>
      </c>
      <c r="E32" s="1">
        <f t="shared" si="0"/>
        <v>0.34</v>
      </c>
      <c r="F32">
        <f t="shared" si="1"/>
        <v>57</v>
      </c>
      <c r="G32">
        <f t="shared" si="2"/>
        <v>131</v>
      </c>
      <c r="H32" s="1">
        <f t="shared" si="3"/>
        <v>0.4351145038167939</v>
      </c>
      <c r="I32" t="str">
        <f>IF(F32&gt;=90,"A",IF(F32&gt;=75,"B",IF(F32&gt;=60,"C",IF(F32&gt;=40,"D","F"))))</f>
        <v>D</v>
      </c>
      <c r="J32" t="str">
        <f t="shared" si="4"/>
        <v>Fail</v>
      </c>
    </row>
    <row r="33" spans="1:10" x14ac:dyDescent="0.3">
      <c r="A33" t="str">
        <v>Shawanda Selke</v>
      </c>
      <c r="B33" t="str">
        <v>Drug Test</v>
      </c>
      <c r="C33">
        <v>0</v>
      </c>
      <c r="D33">
        <v>1</v>
      </c>
      <c r="E33" s="1">
        <f t="shared" si="0"/>
        <v>0</v>
      </c>
      <c r="F33">
        <f t="shared" si="1"/>
        <v>57</v>
      </c>
      <c r="G33">
        <f t="shared" si="2"/>
        <v>131</v>
      </c>
      <c r="H33" s="1">
        <f t="shared" si="3"/>
        <v>0.4351145038167939</v>
      </c>
      <c r="I33" t="str">
        <f>IF(F33&gt;=90,"A",IF(F33&gt;=75,"B",IF(F33&gt;=60,"C",IF(F33&gt;=40,"D","F"))))</f>
        <v>D</v>
      </c>
      <c r="J33" t="str">
        <f t="shared" si="4"/>
        <v>Fail</v>
      </c>
    </row>
    <row r="34" spans="1:10" x14ac:dyDescent="0.3">
      <c r="A34" t="str">
        <v>Sibyl Lauria</v>
      </c>
      <c r="B34" t="str">
        <v>Safety</v>
      </c>
      <c r="C34">
        <v>8</v>
      </c>
      <c r="D34">
        <v>10</v>
      </c>
      <c r="E34" s="1">
        <f t="shared" si="0"/>
        <v>0.8</v>
      </c>
      <c r="F34">
        <f t="shared" si="1"/>
        <v>20</v>
      </c>
      <c r="G34">
        <f t="shared" si="2"/>
        <v>131</v>
      </c>
      <c r="H34" s="1">
        <f t="shared" si="3"/>
        <v>0.15267175572519084</v>
      </c>
      <c r="I34" t="str">
        <f>IF(F34&gt;=90,"A",IF(F34&gt;=75,"B",IF(F34&gt;=60,"C",IF(F34&gt;=40,"D","F"))))</f>
        <v>F</v>
      </c>
      <c r="J34" t="str">
        <f t="shared" si="4"/>
        <v>Fail</v>
      </c>
    </row>
    <row r="35" spans="1:10" x14ac:dyDescent="0.3">
      <c r="A35" t="str">
        <v>Sibyl Lauria</v>
      </c>
      <c r="B35" t="str">
        <v>Company Philosophy</v>
      </c>
      <c r="C35">
        <v>9</v>
      </c>
      <c r="D35">
        <v>20</v>
      </c>
      <c r="E35" s="1">
        <f t="shared" si="0"/>
        <v>0.45</v>
      </c>
      <c r="F35">
        <f t="shared" si="1"/>
        <v>20</v>
      </c>
      <c r="G35">
        <f t="shared" si="2"/>
        <v>131</v>
      </c>
      <c r="H35" s="1">
        <f t="shared" si="3"/>
        <v>0.15267175572519084</v>
      </c>
      <c r="I35" t="str">
        <f>IF(F35&gt;=90,"A",IF(F35&gt;=75,"B",IF(F35&gt;=60,"C",IF(F35&gt;=40,"D","F"))))</f>
        <v>F</v>
      </c>
      <c r="J35" t="str">
        <f t="shared" si="4"/>
        <v>Fail</v>
      </c>
    </row>
    <row r="36" spans="1:10" x14ac:dyDescent="0.3">
      <c r="A36" t="str">
        <v>Sibyl Lauria</v>
      </c>
      <c r="B36" t="str">
        <v>Financial Skills</v>
      </c>
      <c r="C36">
        <v>2</v>
      </c>
      <c r="D36">
        <v>100</v>
      </c>
      <c r="E36" s="1">
        <f t="shared" si="0"/>
        <v>0.02</v>
      </c>
      <c r="F36">
        <f t="shared" si="1"/>
        <v>20</v>
      </c>
      <c r="G36">
        <f t="shared" si="2"/>
        <v>131</v>
      </c>
      <c r="H36" s="1">
        <f t="shared" si="3"/>
        <v>0.15267175572519084</v>
      </c>
      <c r="I36" t="str">
        <f>IF(F36&gt;=90,"A",IF(F36&gt;=75,"B",IF(F36&gt;=60,"C",IF(F36&gt;=40,"D","F"))))</f>
        <v>F</v>
      </c>
      <c r="J36" t="str">
        <f t="shared" si="4"/>
        <v>Fail</v>
      </c>
    </row>
    <row r="37" spans="1:10" x14ac:dyDescent="0.3">
      <c r="A37" t="str">
        <v>Sibyl Lauria</v>
      </c>
      <c r="B37" t="str">
        <v>Drug Test</v>
      </c>
      <c r="C37">
        <v>1</v>
      </c>
      <c r="D37">
        <v>1</v>
      </c>
      <c r="E37" s="1">
        <f t="shared" si="0"/>
        <v>1</v>
      </c>
      <c r="F37">
        <f t="shared" si="1"/>
        <v>20</v>
      </c>
      <c r="G37">
        <f t="shared" si="2"/>
        <v>131</v>
      </c>
      <c r="H37" s="1">
        <f t="shared" si="3"/>
        <v>0.15267175572519084</v>
      </c>
      <c r="I37" t="str">
        <f>IF(F37&gt;=90,"A",IF(F37&gt;=75,"B",IF(F37&gt;=60,"C",IF(F37&gt;=40,"D","F"))))</f>
        <v>F</v>
      </c>
      <c r="J37" t="str">
        <f t="shared" si="4"/>
        <v>Fail</v>
      </c>
    </row>
    <row r="38" spans="1:10" x14ac:dyDescent="0.3">
      <c r="A38" t="str">
        <v>Necole Victory</v>
      </c>
      <c r="B38" t="str">
        <v>Safety</v>
      </c>
      <c r="C38">
        <v>0</v>
      </c>
      <c r="D38">
        <v>10</v>
      </c>
      <c r="E38" s="1">
        <f t="shared" si="0"/>
        <v>0</v>
      </c>
      <c r="F38">
        <f t="shared" si="1"/>
        <v>76</v>
      </c>
      <c r="G38">
        <f t="shared" si="2"/>
        <v>131</v>
      </c>
      <c r="H38" s="1">
        <f t="shared" si="3"/>
        <v>0.58015267175572516</v>
      </c>
      <c r="I38" t="str">
        <f>IF(F38&gt;=90,"A",IF(F38&gt;=75,"B",IF(F38&gt;=60,"C",IF(F38&gt;=40,"D","F"))))</f>
        <v>B</v>
      </c>
      <c r="J38" t="str">
        <f t="shared" si="4"/>
        <v>Pass</v>
      </c>
    </row>
    <row r="39" spans="1:10" x14ac:dyDescent="0.3">
      <c r="A39" t="str">
        <v>Necole Victory</v>
      </c>
      <c r="B39" t="str">
        <v>Company Philosophy</v>
      </c>
      <c r="C39">
        <v>1</v>
      </c>
      <c r="D39">
        <v>20</v>
      </c>
      <c r="E39" s="1">
        <f t="shared" si="0"/>
        <v>0.05</v>
      </c>
      <c r="F39">
        <f t="shared" si="1"/>
        <v>76</v>
      </c>
      <c r="G39">
        <f t="shared" si="2"/>
        <v>131</v>
      </c>
      <c r="H39" s="1">
        <f t="shared" si="3"/>
        <v>0.58015267175572516</v>
      </c>
      <c r="I39" t="str">
        <f>IF(F39&gt;=90,"A",IF(F39&gt;=75,"B",IF(F39&gt;=60,"C",IF(F39&gt;=40,"D","F"))))</f>
        <v>B</v>
      </c>
      <c r="J39" t="str">
        <f t="shared" si="4"/>
        <v>Pass</v>
      </c>
    </row>
    <row r="40" spans="1:10" x14ac:dyDescent="0.3">
      <c r="A40" t="str">
        <v>Necole Victory</v>
      </c>
      <c r="B40" t="str">
        <v>Financial Skills</v>
      </c>
      <c r="C40">
        <v>75</v>
      </c>
      <c r="D40">
        <v>100</v>
      </c>
      <c r="E40" s="1">
        <f t="shared" si="0"/>
        <v>0.75</v>
      </c>
      <c r="F40">
        <f t="shared" si="1"/>
        <v>76</v>
      </c>
      <c r="G40">
        <f t="shared" si="2"/>
        <v>131</v>
      </c>
      <c r="H40" s="1">
        <f t="shared" si="3"/>
        <v>0.58015267175572516</v>
      </c>
      <c r="I40" t="str">
        <f>IF(F40&gt;=90,"A",IF(F40&gt;=75,"B",IF(F40&gt;=60,"C",IF(F40&gt;=40,"D","F"))))</f>
        <v>B</v>
      </c>
      <c r="J40" t="str">
        <f t="shared" si="4"/>
        <v>Pass</v>
      </c>
    </row>
    <row r="41" spans="1:10" x14ac:dyDescent="0.3">
      <c r="A41" t="str">
        <v>Necole Victory</v>
      </c>
      <c r="B41" t="str">
        <v>Drug Test</v>
      </c>
      <c r="C41">
        <v>0</v>
      </c>
      <c r="D41">
        <v>1</v>
      </c>
      <c r="E41" s="1">
        <f t="shared" si="0"/>
        <v>0</v>
      </c>
      <c r="F41">
        <f t="shared" si="1"/>
        <v>76</v>
      </c>
      <c r="G41">
        <f t="shared" si="2"/>
        <v>131</v>
      </c>
      <c r="H41" s="1">
        <f t="shared" si="3"/>
        <v>0.58015267175572516</v>
      </c>
      <c r="I41" t="str">
        <f>IF(F41&gt;=90,"A",IF(F41&gt;=75,"B",IF(F41&gt;=60,"C",IF(F41&gt;=40,"D","F"))))</f>
        <v>B</v>
      </c>
      <c r="J41" t="str">
        <f t="shared" si="4"/>
        <v>Pass</v>
      </c>
    </row>
    <row r="42" spans="1:10" x14ac:dyDescent="0.3">
      <c r="A42" t="str">
        <v>Ernestine Pickrone</v>
      </c>
      <c r="B42" t="str">
        <v>Safety</v>
      </c>
      <c r="C42">
        <v>5</v>
      </c>
      <c r="D42">
        <v>10</v>
      </c>
      <c r="E42" s="1">
        <f t="shared" si="0"/>
        <v>0.5</v>
      </c>
      <c r="F42">
        <f t="shared" si="1"/>
        <v>81</v>
      </c>
      <c r="G42">
        <f t="shared" si="2"/>
        <v>131</v>
      </c>
      <c r="H42" s="1">
        <f t="shared" si="3"/>
        <v>0.61832061068702293</v>
      </c>
      <c r="I42" t="str">
        <f>IF(F42&gt;=90,"A",IF(F42&gt;=75,"B",IF(F42&gt;=60,"C",IF(F42&gt;=40,"D","F"))))</f>
        <v>B</v>
      </c>
      <c r="J42" t="str">
        <f t="shared" si="4"/>
        <v>Pass</v>
      </c>
    </row>
    <row r="43" spans="1:10" x14ac:dyDescent="0.3">
      <c r="A43" t="str">
        <v>Ernestine Pickrone</v>
      </c>
      <c r="B43" t="str">
        <v>Company Philosophy</v>
      </c>
      <c r="C43">
        <v>17</v>
      </c>
      <c r="D43">
        <v>20</v>
      </c>
      <c r="E43" s="1">
        <f t="shared" si="0"/>
        <v>0.85</v>
      </c>
      <c r="F43">
        <f t="shared" si="1"/>
        <v>81</v>
      </c>
      <c r="G43">
        <f t="shared" si="2"/>
        <v>131</v>
      </c>
      <c r="H43" s="1">
        <f t="shared" si="3"/>
        <v>0.61832061068702293</v>
      </c>
      <c r="I43" t="str">
        <f>IF(F43&gt;=90,"A",IF(F43&gt;=75,"B",IF(F43&gt;=60,"C",IF(F43&gt;=40,"D","F"))))</f>
        <v>B</v>
      </c>
      <c r="J43" t="str">
        <f t="shared" si="4"/>
        <v>Pass</v>
      </c>
    </row>
    <row r="44" spans="1:10" x14ac:dyDescent="0.3">
      <c r="A44" t="str">
        <v>Ernestine Pickrone</v>
      </c>
      <c r="B44" t="str">
        <v>Financial Skills</v>
      </c>
      <c r="C44">
        <v>59</v>
      </c>
      <c r="D44">
        <v>100</v>
      </c>
      <c r="E44" s="1">
        <f t="shared" si="0"/>
        <v>0.59</v>
      </c>
      <c r="F44">
        <f t="shared" si="1"/>
        <v>81</v>
      </c>
      <c r="G44">
        <f t="shared" si="2"/>
        <v>131</v>
      </c>
      <c r="H44" s="1">
        <f t="shared" si="3"/>
        <v>0.61832061068702293</v>
      </c>
      <c r="I44" t="str">
        <f>IF(F44&gt;=90,"A",IF(F44&gt;=75,"B",IF(F44&gt;=60,"C",IF(F44&gt;=40,"D","F"))))</f>
        <v>B</v>
      </c>
      <c r="J44" t="str">
        <f t="shared" si="4"/>
        <v>Pass</v>
      </c>
    </row>
    <row r="45" spans="1:10" x14ac:dyDescent="0.3">
      <c r="A45" t="str">
        <v>Ernestine Pickrone</v>
      </c>
      <c r="B45" t="str">
        <v>Drug Test</v>
      </c>
      <c r="C45">
        <v>0</v>
      </c>
      <c r="D45">
        <v>1</v>
      </c>
      <c r="E45" s="1">
        <f t="shared" si="0"/>
        <v>0</v>
      </c>
      <c r="F45">
        <f t="shared" si="1"/>
        <v>81</v>
      </c>
      <c r="G45">
        <f t="shared" si="2"/>
        <v>131</v>
      </c>
      <c r="H45" s="1">
        <f t="shared" si="3"/>
        <v>0.61832061068702293</v>
      </c>
      <c r="I45" t="str">
        <f>IF(F45&gt;=90,"A",IF(F45&gt;=75,"B",IF(F45&gt;=60,"C",IF(F45&gt;=40,"D","F"))))</f>
        <v>B</v>
      </c>
      <c r="J45" t="str">
        <f t="shared" si="4"/>
        <v>Pass</v>
      </c>
    </row>
    <row r="46" spans="1:10" x14ac:dyDescent="0.3">
      <c r="A46" t="str">
        <v>Ayesha Monica</v>
      </c>
      <c r="B46" t="str">
        <v>Safety</v>
      </c>
      <c r="C46">
        <v>7</v>
      </c>
      <c r="D46">
        <v>10</v>
      </c>
      <c r="E46" s="1">
        <f t="shared" si="0"/>
        <v>0.7</v>
      </c>
      <c r="F46">
        <f t="shared" si="1"/>
        <v>114</v>
      </c>
      <c r="G46">
        <f t="shared" si="2"/>
        <v>131</v>
      </c>
      <c r="H46" s="1">
        <f t="shared" si="3"/>
        <v>0.87022900763358779</v>
      </c>
      <c r="I46" t="str">
        <f>IF(F46&gt;=90,"A",IF(F46&gt;=75,"B",IF(F46&gt;=60,"C",IF(F46&gt;=40,"D","F"))))</f>
        <v>A</v>
      </c>
      <c r="J46" t="str">
        <f t="shared" si="4"/>
        <v>Pass</v>
      </c>
    </row>
    <row r="47" spans="1:10" x14ac:dyDescent="0.3">
      <c r="A47" t="str">
        <v>Ayesha Monica</v>
      </c>
      <c r="B47" t="str">
        <v>Company Philosophy</v>
      </c>
      <c r="C47">
        <v>6</v>
      </c>
      <c r="D47">
        <v>20</v>
      </c>
      <c r="E47" s="1">
        <f t="shared" si="0"/>
        <v>0.3</v>
      </c>
      <c r="F47">
        <f t="shared" si="1"/>
        <v>114</v>
      </c>
      <c r="G47">
        <f t="shared" si="2"/>
        <v>131</v>
      </c>
      <c r="H47" s="1">
        <f t="shared" si="3"/>
        <v>0.87022900763358779</v>
      </c>
      <c r="I47" t="str">
        <f>IF(F47&gt;=90,"A",IF(F47&gt;=75,"B",IF(F47&gt;=60,"C",IF(F47&gt;=40,"D","F"))))</f>
        <v>A</v>
      </c>
      <c r="J47" t="str">
        <f t="shared" si="4"/>
        <v>Pass</v>
      </c>
    </row>
    <row r="48" spans="1:10" x14ac:dyDescent="0.3">
      <c r="A48" t="str">
        <v>Ayesha Monica</v>
      </c>
      <c r="B48" t="str">
        <v>Financial Skills</v>
      </c>
      <c r="C48">
        <v>100</v>
      </c>
      <c r="D48">
        <v>100</v>
      </c>
      <c r="E48" s="1">
        <f t="shared" si="0"/>
        <v>1</v>
      </c>
      <c r="F48">
        <f t="shared" si="1"/>
        <v>114</v>
      </c>
      <c r="G48">
        <f t="shared" si="2"/>
        <v>131</v>
      </c>
      <c r="H48" s="1">
        <f t="shared" si="3"/>
        <v>0.87022900763358779</v>
      </c>
      <c r="I48" t="str">
        <f>IF(F48&gt;=90,"A",IF(F48&gt;=75,"B",IF(F48&gt;=60,"C",IF(F48&gt;=40,"D","F"))))</f>
        <v>A</v>
      </c>
      <c r="J48" t="str">
        <f t="shared" si="4"/>
        <v>Pass</v>
      </c>
    </row>
    <row r="49" spans="1:10" x14ac:dyDescent="0.3">
      <c r="A49" t="str">
        <v>Ayesha Monica</v>
      </c>
      <c r="B49" t="str">
        <v>Drug Test</v>
      </c>
      <c r="C49">
        <v>1</v>
      </c>
      <c r="D49">
        <v>1</v>
      </c>
      <c r="E49" s="1">
        <f t="shared" si="0"/>
        <v>1</v>
      </c>
      <c r="F49">
        <f t="shared" si="1"/>
        <v>114</v>
      </c>
      <c r="G49">
        <f t="shared" si="2"/>
        <v>131</v>
      </c>
      <c r="H49" s="1">
        <f t="shared" si="3"/>
        <v>0.87022900763358779</v>
      </c>
      <c r="I49" t="str">
        <f>IF(F49&gt;=90,"A",IF(F49&gt;=75,"B",IF(F49&gt;=60,"C",IF(F49&gt;=40,"D","F"))))</f>
        <v>A</v>
      </c>
      <c r="J49" t="str">
        <f t="shared" si="4"/>
        <v>Pass</v>
      </c>
    </row>
    <row r="50" spans="1:10" x14ac:dyDescent="0.3">
      <c r="A50" t="str">
        <v>Retha Sears</v>
      </c>
      <c r="B50" t="str">
        <v>Safety</v>
      </c>
      <c r="C50">
        <v>11</v>
      </c>
      <c r="D50">
        <v>10</v>
      </c>
      <c r="E50" s="1">
        <f t="shared" si="0"/>
        <v>1.1000000000000001</v>
      </c>
      <c r="F50">
        <f t="shared" si="1"/>
        <v>63</v>
      </c>
      <c r="G50">
        <f t="shared" si="2"/>
        <v>131</v>
      </c>
      <c r="H50" s="1">
        <f t="shared" si="3"/>
        <v>0.48091603053435117</v>
      </c>
      <c r="I50" t="str">
        <f>IF(F50&gt;=90,"A",IF(F50&gt;=75,"B",IF(F50&gt;=60,"C",IF(F50&gt;=40,"D","F"))))</f>
        <v>C</v>
      </c>
      <c r="J50" t="str">
        <f t="shared" si="4"/>
        <v>Fail</v>
      </c>
    </row>
    <row r="51" spans="1:10" x14ac:dyDescent="0.3">
      <c r="A51" t="str">
        <v>Retha Sears</v>
      </c>
      <c r="B51" t="str">
        <v>Company Philosophy</v>
      </c>
      <c r="C51">
        <v>11</v>
      </c>
      <c r="D51">
        <v>20</v>
      </c>
      <c r="E51" s="1">
        <f t="shared" si="0"/>
        <v>0.55000000000000004</v>
      </c>
      <c r="F51">
        <f t="shared" si="1"/>
        <v>63</v>
      </c>
      <c r="G51">
        <f t="shared" si="2"/>
        <v>131</v>
      </c>
      <c r="H51" s="1">
        <f t="shared" si="3"/>
        <v>0.48091603053435117</v>
      </c>
      <c r="I51" t="str">
        <f>IF(F51&gt;=90,"A",IF(F51&gt;=75,"B",IF(F51&gt;=60,"C",IF(F51&gt;=40,"D","F"))))</f>
        <v>C</v>
      </c>
      <c r="J51" t="str">
        <f t="shared" si="4"/>
        <v>Fail</v>
      </c>
    </row>
    <row r="52" spans="1:10" x14ac:dyDescent="0.3">
      <c r="A52" t="str">
        <v>Retha Sears</v>
      </c>
      <c r="B52" t="str">
        <v>Financial Skills</v>
      </c>
      <c r="C52">
        <v>41</v>
      </c>
      <c r="D52">
        <v>100</v>
      </c>
      <c r="E52" s="1">
        <f t="shared" si="0"/>
        <v>0.41</v>
      </c>
      <c r="F52">
        <f t="shared" si="1"/>
        <v>63</v>
      </c>
      <c r="G52">
        <f t="shared" si="2"/>
        <v>131</v>
      </c>
      <c r="H52" s="1">
        <f t="shared" si="3"/>
        <v>0.48091603053435117</v>
      </c>
      <c r="I52" t="str">
        <f>IF(F52&gt;=90,"A",IF(F52&gt;=75,"B",IF(F52&gt;=60,"C",IF(F52&gt;=40,"D","F"))))</f>
        <v>C</v>
      </c>
      <c r="J52" t="str">
        <f t="shared" si="4"/>
        <v>Fail</v>
      </c>
    </row>
    <row r="53" spans="1:10" x14ac:dyDescent="0.3">
      <c r="A53" t="str">
        <v>Retha Sears</v>
      </c>
      <c r="B53" t="str">
        <v>Drug Test</v>
      </c>
      <c r="C53">
        <v>0</v>
      </c>
      <c r="D53">
        <v>1</v>
      </c>
      <c r="E53" s="1">
        <f t="shared" si="0"/>
        <v>0</v>
      </c>
      <c r="F53">
        <f t="shared" si="1"/>
        <v>63</v>
      </c>
      <c r="G53">
        <f t="shared" si="2"/>
        <v>131</v>
      </c>
      <c r="H53" s="1">
        <f t="shared" si="3"/>
        <v>0.48091603053435117</v>
      </c>
      <c r="I53" t="str">
        <f>IF(F53&gt;=90,"A",IF(F53&gt;=75,"B",IF(F53&gt;=60,"C",IF(F53&gt;=40,"D","F"))))</f>
        <v>C</v>
      </c>
      <c r="J53" t="str">
        <f t="shared" si="4"/>
        <v>Fail</v>
      </c>
    </row>
    <row r="54" spans="1:10" x14ac:dyDescent="0.3">
      <c r="A54" t="str">
        <v>Julia Behrman</v>
      </c>
      <c r="B54" t="str">
        <v>Safety</v>
      </c>
      <c r="C54">
        <v>9</v>
      </c>
      <c r="D54">
        <v>10</v>
      </c>
      <c r="E54" s="1">
        <f t="shared" si="0"/>
        <v>0.9</v>
      </c>
      <c r="F54">
        <f t="shared" si="1"/>
        <v>36</v>
      </c>
      <c r="G54">
        <f t="shared" si="2"/>
        <v>131</v>
      </c>
      <c r="H54" s="1">
        <f t="shared" si="3"/>
        <v>0.27480916030534353</v>
      </c>
      <c r="I54" t="str">
        <f>IF(F54&gt;=90,"A",IF(F54&gt;=75,"B",IF(F54&gt;=60,"C",IF(F54&gt;=40,"D","F"))))</f>
        <v>F</v>
      </c>
      <c r="J54" t="str">
        <f t="shared" si="4"/>
        <v>Fail</v>
      </c>
    </row>
    <row r="55" spans="1:10" x14ac:dyDescent="0.3">
      <c r="A55" t="str">
        <v>Julia Behrman</v>
      </c>
      <c r="B55" t="str">
        <v>Company Philosophy</v>
      </c>
      <c r="C55">
        <v>8</v>
      </c>
      <c r="D55">
        <v>20</v>
      </c>
      <c r="E55" s="1">
        <f t="shared" si="0"/>
        <v>0.4</v>
      </c>
      <c r="F55">
        <f t="shared" si="1"/>
        <v>36</v>
      </c>
      <c r="G55">
        <f t="shared" si="2"/>
        <v>131</v>
      </c>
      <c r="H55" s="1">
        <f t="shared" si="3"/>
        <v>0.27480916030534353</v>
      </c>
      <c r="I55" t="str">
        <f>IF(F55&gt;=90,"A",IF(F55&gt;=75,"B",IF(F55&gt;=60,"C",IF(F55&gt;=40,"D","F"))))</f>
        <v>F</v>
      </c>
      <c r="J55" t="str">
        <f t="shared" si="4"/>
        <v>Fail</v>
      </c>
    </row>
    <row r="56" spans="1:10" x14ac:dyDescent="0.3">
      <c r="A56" t="str">
        <v>Julia Behrman</v>
      </c>
      <c r="B56" t="str">
        <v>Financial Skills</v>
      </c>
      <c r="C56">
        <v>19</v>
      </c>
      <c r="D56">
        <v>100</v>
      </c>
      <c r="E56" s="1">
        <f t="shared" si="0"/>
        <v>0.19</v>
      </c>
      <c r="F56">
        <f t="shared" si="1"/>
        <v>36</v>
      </c>
      <c r="G56">
        <f t="shared" si="2"/>
        <v>131</v>
      </c>
      <c r="H56" s="1">
        <f t="shared" si="3"/>
        <v>0.27480916030534353</v>
      </c>
      <c r="I56" t="str">
        <f>IF(F56&gt;=90,"A",IF(F56&gt;=75,"B",IF(F56&gt;=60,"C",IF(F56&gt;=40,"D","F"))))</f>
        <v>F</v>
      </c>
      <c r="J56" t="str">
        <f t="shared" si="4"/>
        <v>Fail</v>
      </c>
    </row>
    <row r="57" spans="1:10" x14ac:dyDescent="0.3">
      <c r="A57" t="str">
        <v>Julia Behrman</v>
      </c>
      <c r="B57" t="str">
        <v>Drug Test</v>
      </c>
      <c r="C57">
        <v>0</v>
      </c>
      <c r="D57">
        <v>1</v>
      </c>
      <c r="E57" s="1">
        <f t="shared" si="0"/>
        <v>0</v>
      </c>
      <c r="F57">
        <f t="shared" si="1"/>
        <v>36</v>
      </c>
      <c r="G57">
        <f t="shared" si="2"/>
        <v>131</v>
      </c>
      <c r="H57" s="1">
        <f t="shared" si="3"/>
        <v>0.27480916030534353</v>
      </c>
      <c r="I57" t="str">
        <f>IF(F57&gt;=90,"A",IF(F57&gt;=75,"B",IF(F57&gt;=60,"C",IF(F57&gt;=40,"D","F"))))</f>
        <v>F</v>
      </c>
      <c r="J57" t="str">
        <f t="shared" si="4"/>
        <v>Fail</v>
      </c>
    </row>
    <row r="58" spans="1:10" x14ac:dyDescent="0.3">
      <c r="A58" t="str">
        <v>Tia Amato</v>
      </c>
      <c r="B58" t="str">
        <v>Safety</v>
      </c>
      <c r="C58">
        <v>1</v>
      </c>
      <c r="D58">
        <v>10</v>
      </c>
      <c r="E58" s="1">
        <f t="shared" si="0"/>
        <v>0.1</v>
      </c>
      <c r="F58">
        <f t="shared" si="1"/>
        <v>107</v>
      </c>
      <c r="G58">
        <f t="shared" si="2"/>
        <v>131</v>
      </c>
      <c r="H58" s="1">
        <f t="shared" si="3"/>
        <v>0.81679389312977102</v>
      </c>
      <c r="I58" t="str">
        <f>IF(F58&gt;=90,"A",IF(F58&gt;=75,"B",IF(F58&gt;=60,"C",IF(F58&gt;=40,"D","F"))))</f>
        <v>A</v>
      </c>
      <c r="J58" t="str">
        <f t="shared" si="4"/>
        <v>Pass</v>
      </c>
    </row>
    <row r="59" spans="1:10" x14ac:dyDescent="0.3">
      <c r="A59" t="str">
        <v>Tia Amato</v>
      </c>
      <c r="B59" t="str">
        <v>Company Philosophy</v>
      </c>
      <c r="C59">
        <v>18</v>
      </c>
      <c r="D59">
        <v>20</v>
      </c>
      <c r="E59" s="1">
        <f t="shared" si="0"/>
        <v>0.9</v>
      </c>
      <c r="F59">
        <f t="shared" si="1"/>
        <v>107</v>
      </c>
      <c r="G59">
        <f t="shared" si="2"/>
        <v>131</v>
      </c>
      <c r="H59" s="1">
        <f t="shared" si="3"/>
        <v>0.81679389312977102</v>
      </c>
      <c r="I59" t="str">
        <f>IF(F59&gt;=90,"A",IF(F59&gt;=75,"B",IF(F59&gt;=60,"C",IF(F59&gt;=40,"D","F"))))</f>
        <v>A</v>
      </c>
      <c r="J59" t="str">
        <f t="shared" si="4"/>
        <v>Pass</v>
      </c>
    </row>
    <row r="60" spans="1:10" x14ac:dyDescent="0.3">
      <c r="A60" t="str">
        <v>Tia Amato</v>
      </c>
      <c r="B60" t="str">
        <v>Financial Skills</v>
      </c>
      <c r="C60">
        <v>87</v>
      </c>
      <c r="D60">
        <v>100</v>
      </c>
      <c r="E60" s="1">
        <f t="shared" si="0"/>
        <v>0.87</v>
      </c>
      <c r="F60">
        <f t="shared" si="1"/>
        <v>107</v>
      </c>
      <c r="G60">
        <f t="shared" si="2"/>
        <v>131</v>
      </c>
      <c r="H60" s="1">
        <f t="shared" si="3"/>
        <v>0.81679389312977102</v>
      </c>
      <c r="I60" t="str">
        <f>IF(F60&gt;=90,"A",IF(F60&gt;=75,"B",IF(F60&gt;=60,"C",IF(F60&gt;=40,"D","F"))))</f>
        <v>A</v>
      </c>
      <c r="J60" t="str">
        <f t="shared" si="4"/>
        <v>Pass</v>
      </c>
    </row>
    <row r="61" spans="1:10" x14ac:dyDescent="0.3">
      <c r="A61" t="str">
        <v>Tia Amato</v>
      </c>
      <c r="B61" t="str">
        <v>Drug Test</v>
      </c>
      <c r="C61">
        <v>1</v>
      </c>
      <c r="D61">
        <v>1</v>
      </c>
      <c r="E61" s="1">
        <f t="shared" si="0"/>
        <v>1</v>
      </c>
      <c r="F61">
        <f t="shared" si="1"/>
        <v>107</v>
      </c>
      <c r="G61">
        <f t="shared" si="2"/>
        <v>131</v>
      </c>
      <c r="H61" s="1">
        <f t="shared" si="3"/>
        <v>0.81679389312977102</v>
      </c>
      <c r="I61" t="str">
        <f>IF(F61&gt;=90,"A",IF(F61&gt;=75,"B",IF(F61&gt;=60,"C",IF(F61&gt;=40,"D","F"))))</f>
        <v>A</v>
      </c>
      <c r="J61" t="str">
        <f t="shared" si="4"/>
        <v>Pass</v>
      </c>
    </row>
    <row r="62" spans="1:10" x14ac:dyDescent="0.3">
      <c r="A62" t="str">
        <v>Akilah Drinkard</v>
      </c>
      <c r="B62" t="str">
        <v>Safety</v>
      </c>
      <c r="C62">
        <v>4</v>
      </c>
      <c r="D62">
        <v>10</v>
      </c>
      <c r="E62" s="1">
        <f t="shared" si="0"/>
        <v>0.4</v>
      </c>
      <c r="F62">
        <f t="shared" si="1"/>
        <v>69</v>
      </c>
      <c r="G62">
        <f t="shared" si="2"/>
        <v>131</v>
      </c>
      <c r="H62" s="1">
        <f t="shared" si="3"/>
        <v>0.52671755725190839</v>
      </c>
      <c r="I62" t="str">
        <f>IF(F62&gt;=90,"A",IF(F62&gt;=75,"B",IF(F62&gt;=60,"C",IF(F62&gt;=40,"D","F"))))</f>
        <v>C</v>
      </c>
      <c r="J62" t="str">
        <f t="shared" si="4"/>
        <v>Pass</v>
      </c>
    </row>
    <row r="63" spans="1:10" x14ac:dyDescent="0.3">
      <c r="A63" t="str">
        <v>Akilah Drinkard</v>
      </c>
      <c r="B63" t="str">
        <v>Company Philosophy</v>
      </c>
      <c r="C63">
        <v>2</v>
      </c>
      <c r="D63">
        <v>20</v>
      </c>
      <c r="E63" s="1">
        <f t="shared" si="0"/>
        <v>0.1</v>
      </c>
      <c r="F63">
        <f t="shared" si="1"/>
        <v>69</v>
      </c>
      <c r="G63">
        <f t="shared" si="2"/>
        <v>131</v>
      </c>
      <c r="H63" s="1">
        <f t="shared" si="3"/>
        <v>0.52671755725190839</v>
      </c>
      <c r="I63" t="str">
        <f>IF(F63&gt;=90,"A",IF(F63&gt;=75,"B",IF(F63&gt;=60,"C",IF(F63&gt;=40,"D","F"))))</f>
        <v>C</v>
      </c>
      <c r="J63" t="str">
        <f t="shared" si="4"/>
        <v>Pass</v>
      </c>
    </row>
    <row r="64" spans="1:10" x14ac:dyDescent="0.3">
      <c r="A64" t="str">
        <v>Akilah Drinkard</v>
      </c>
      <c r="B64" t="str">
        <v>Financial Skills</v>
      </c>
      <c r="C64">
        <v>63</v>
      </c>
      <c r="D64">
        <v>100</v>
      </c>
      <c r="E64" s="1">
        <f t="shared" si="0"/>
        <v>0.63</v>
      </c>
      <c r="F64">
        <f t="shared" si="1"/>
        <v>69</v>
      </c>
      <c r="G64">
        <f t="shared" si="2"/>
        <v>131</v>
      </c>
      <c r="H64" s="1">
        <f t="shared" si="3"/>
        <v>0.52671755725190839</v>
      </c>
      <c r="I64" t="str">
        <f>IF(F64&gt;=90,"A",IF(F64&gt;=75,"B",IF(F64&gt;=60,"C",IF(F64&gt;=40,"D","F"))))</f>
        <v>C</v>
      </c>
      <c r="J64" t="str">
        <f t="shared" si="4"/>
        <v>Pass</v>
      </c>
    </row>
    <row r="65" spans="1:10" x14ac:dyDescent="0.3">
      <c r="A65" t="str">
        <v>Akilah Drinkard</v>
      </c>
      <c r="B65" t="str">
        <v>Drug Test</v>
      </c>
      <c r="C65">
        <v>0</v>
      </c>
      <c r="D65">
        <v>1</v>
      </c>
      <c r="E65" s="1">
        <f t="shared" si="0"/>
        <v>0</v>
      </c>
      <c r="F65">
        <f t="shared" si="1"/>
        <v>69</v>
      </c>
      <c r="G65">
        <f t="shared" si="2"/>
        <v>131</v>
      </c>
      <c r="H65" s="1">
        <f t="shared" si="3"/>
        <v>0.52671755725190839</v>
      </c>
      <c r="I65" t="str">
        <f>IF(F65&gt;=90,"A",IF(F65&gt;=75,"B",IF(F65&gt;=60,"C",IF(F65&gt;=40,"D","F"))))</f>
        <v>C</v>
      </c>
      <c r="J65" t="str">
        <f t="shared" si="4"/>
        <v>Pass</v>
      </c>
    </row>
    <row r="66" spans="1:10" x14ac:dyDescent="0.3">
      <c r="A66" t="str">
        <v>Silvana Virden</v>
      </c>
      <c r="B66" t="str">
        <v>Safety</v>
      </c>
      <c r="C66">
        <v>6</v>
      </c>
      <c r="D66">
        <v>10</v>
      </c>
      <c r="E66" s="1">
        <f t="shared" si="0"/>
        <v>0.6</v>
      </c>
      <c r="F66">
        <f t="shared" si="1"/>
        <v>30</v>
      </c>
      <c r="G66">
        <f t="shared" si="2"/>
        <v>131</v>
      </c>
      <c r="H66" s="1">
        <f t="shared" si="3"/>
        <v>0.22900763358778625</v>
      </c>
      <c r="I66" t="str">
        <f>IF(F66&gt;=90,"A",IF(F66&gt;=75,"B",IF(F66&gt;=60,"C",IF(F66&gt;=40,"D","F"))))</f>
        <v>F</v>
      </c>
      <c r="J66" t="str">
        <f t="shared" si="4"/>
        <v>Fail</v>
      </c>
    </row>
    <row r="67" spans="1:10" x14ac:dyDescent="0.3">
      <c r="A67" t="str">
        <v>Silvana Virden</v>
      </c>
      <c r="B67" t="str">
        <v>Company Philosophy</v>
      </c>
      <c r="C67">
        <v>15</v>
      </c>
      <c r="D67">
        <v>20</v>
      </c>
      <c r="E67" s="1">
        <f t="shared" ref="E67:E89" si="5">C67/D67</f>
        <v>0.75</v>
      </c>
      <c r="F67">
        <f t="shared" ref="F67:F89" si="6">SUMIF(A:A,A67,C:C)</f>
        <v>30</v>
      </c>
      <c r="G67">
        <f t="shared" ref="G67:G89" si="7">SUMIF(A:A,A67,D:D)</f>
        <v>131</v>
      </c>
      <c r="H67" s="1">
        <f t="shared" ref="H67:H89" si="8">F67/G67</f>
        <v>0.22900763358778625</v>
      </c>
      <c r="I67" t="str">
        <f>IF(F67&gt;=90,"A",IF(F67&gt;=75,"B",IF(F67&gt;=60,"C",IF(F67&gt;=40,"D","F"))))</f>
        <v>F</v>
      </c>
      <c r="J67" t="str">
        <f t="shared" ref="J67:J89" si="9">IF(H67&gt;=50%,"Pass","Fail")</f>
        <v>Fail</v>
      </c>
    </row>
    <row r="68" spans="1:10" x14ac:dyDescent="0.3">
      <c r="A68" t="str">
        <v>Silvana Virden</v>
      </c>
      <c r="B68" t="str">
        <v>Financial Skills</v>
      </c>
      <c r="C68">
        <v>8</v>
      </c>
      <c r="D68">
        <v>100</v>
      </c>
      <c r="E68" s="1">
        <f t="shared" si="5"/>
        <v>0.08</v>
      </c>
      <c r="F68">
        <f t="shared" si="6"/>
        <v>30</v>
      </c>
      <c r="G68">
        <f t="shared" si="7"/>
        <v>131</v>
      </c>
      <c r="H68" s="1">
        <f t="shared" si="8"/>
        <v>0.22900763358778625</v>
      </c>
      <c r="I68" t="str">
        <f>IF(F68&gt;=90,"A",IF(F68&gt;=75,"B",IF(F68&gt;=60,"C",IF(F68&gt;=40,"D","F"))))</f>
        <v>F</v>
      </c>
      <c r="J68" t="str">
        <f t="shared" si="9"/>
        <v>Fail</v>
      </c>
    </row>
    <row r="69" spans="1:10" x14ac:dyDescent="0.3">
      <c r="A69" t="str">
        <v>Silvana Virden</v>
      </c>
      <c r="B69" t="str">
        <v>Drug Test</v>
      </c>
      <c r="C69">
        <v>1</v>
      </c>
      <c r="D69">
        <v>1</v>
      </c>
      <c r="E69" s="1">
        <f t="shared" si="5"/>
        <v>1</v>
      </c>
      <c r="F69">
        <f t="shared" si="6"/>
        <v>30</v>
      </c>
      <c r="G69">
        <f t="shared" si="7"/>
        <v>131</v>
      </c>
      <c r="H69" s="1">
        <f t="shared" si="8"/>
        <v>0.22900763358778625</v>
      </c>
      <c r="I69" t="str">
        <f>IF(F69&gt;=90,"A",IF(F69&gt;=75,"B",IF(F69&gt;=60,"C",IF(F69&gt;=40,"D","F"))))</f>
        <v>F</v>
      </c>
      <c r="J69" t="str">
        <f t="shared" si="9"/>
        <v>Fail</v>
      </c>
    </row>
    <row r="70" spans="1:10" x14ac:dyDescent="0.3">
      <c r="A70" t="str">
        <v>Nakesha Renn</v>
      </c>
      <c r="B70" t="str">
        <v>Safety</v>
      </c>
      <c r="C70">
        <v>8</v>
      </c>
      <c r="D70">
        <v>10</v>
      </c>
      <c r="E70" s="1">
        <f t="shared" si="5"/>
        <v>0.8</v>
      </c>
      <c r="F70">
        <f t="shared" si="6"/>
        <v>69</v>
      </c>
      <c r="G70">
        <f t="shared" si="7"/>
        <v>131</v>
      </c>
      <c r="H70" s="1">
        <f t="shared" si="8"/>
        <v>0.52671755725190839</v>
      </c>
      <c r="I70" t="str">
        <f>IF(F70&gt;=90,"A",IF(F70&gt;=75,"B",IF(F70&gt;=60,"C",IF(F70&gt;=40,"D","F"))))</f>
        <v>C</v>
      </c>
      <c r="J70" t="str">
        <f t="shared" si="9"/>
        <v>Pass</v>
      </c>
    </row>
    <row r="71" spans="1:10" x14ac:dyDescent="0.3">
      <c r="A71" t="str">
        <v>Nakesha Renn</v>
      </c>
      <c r="B71" t="str">
        <v>Company Philosophy</v>
      </c>
      <c r="C71">
        <v>8</v>
      </c>
      <c r="D71">
        <v>20</v>
      </c>
      <c r="E71" s="1">
        <f t="shared" si="5"/>
        <v>0.4</v>
      </c>
      <c r="F71">
        <f t="shared" si="6"/>
        <v>69</v>
      </c>
      <c r="G71">
        <f t="shared" si="7"/>
        <v>131</v>
      </c>
      <c r="H71" s="1">
        <f t="shared" si="8"/>
        <v>0.52671755725190839</v>
      </c>
      <c r="I71" t="str">
        <f>IF(F71&gt;=90,"A",IF(F71&gt;=75,"B",IF(F71&gt;=60,"C",IF(F71&gt;=40,"D","F"))))</f>
        <v>C</v>
      </c>
      <c r="J71" t="str">
        <f t="shared" si="9"/>
        <v>Pass</v>
      </c>
    </row>
    <row r="72" spans="1:10" x14ac:dyDescent="0.3">
      <c r="A72" t="str">
        <v>Nakesha Renn</v>
      </c>
      <c r="B72" t="str">
        <v>Financial Skills</v>
      </c>
      <c r="C72">
        <v>52</v>
      </c>
      <c r="D72">
        <v>100</v>
      </c>
      <c r="E72" s="1">
        <f t="shared" si="5"/>
        <v>0.52</v>
      </c>
      <c r="F72">
        <f t="shared" si="6"/>
        <v>69</v>
      </c>
      <c r="G72">
        <f t="shared" si="7"/>
        <v>131</v>
      </c>
      <c r="H72" s="1">
        <f t="shared" si="8"/>
        <v>0.52671755725190839</v>
      </c>
      <c r="I72" t="str">
        <f>IF(F72&gt;=90,"A",IF(F72&gt;=75,"B",IF(F72&gt;=60,"C",IF(F72&gt;=40,"D","F"))))</f>
        <v>C</v>
      </c>
      <c r="J72" t="str">
        <f t="shared" si="9"/>
        <v>Pass</v>
      </c>
    </row>
    <row r="73" spans="1:10" x14ac:dyDescent="0.3">
      <c r="A73" t="str">
        <v>Nakesha Renn</v>
      </c>
      <c r="B73" t="str">
        <v>Drug Test</v>
      </c>
      <c r="C73">
        <v>1</v>
      </c>
      <c r="D73">
        <v>1</v>
      </c>
      <c r="E73" s="1">
        <f t="shared" si="5"/>
        <v>1</v>
      </c>
      <c r="F73">
        <f t="shared" si="6"/>
        <v>69</v>
      </c>
      <c r="G73">
        <f t="shared" si="7"/>
        <v>131</v>
      </c>
      <c r="H73" s="1">
        <f t="shared" si="8"/>
        <v>0.52671755725190839</v>
      </c>
      <c r="I73" t="str">
        <f>IF(F73&gt;=90,"A",IF(F73&gt;=75,"B",IF(F73&gt;=60,"C",IF(F73&gt;=40,"D","F"))))</f>
        <v>C</v>
      </c>
      <c r="J73" t="str">
        <f t="shared" si="9"/>
        <v>Pass</v>
      </c>
    </row>
    <row r="74" spans="1:10" x14ac:dyDescent="0.3">
      <c r="A74" t="str">
        <v>Elna Condello</v>
      </c>
      <c r="B74" t="str">
        <v>Safety</v>
      </c>
      <c r="C74">
        <v>3</v>
      </c>
      <c r="D74">
        <v>10</v>
      </c>
      <c r="E74" s="1">
        <f t="shared" si="5"/>
        <v>0.3</v>
      </c>
      <c r="F74">
        <f t="shared" si="6"/>
        <v>45</v>
      </c>
      <c r="G74">
        <f t="shared" si="7"/>
        <v>131</v>
      </c>
      <c r="H74" s="1">
        <f t="shared" si="8"/>
        <v>0.34351145038167941</v>
      </c>
      <c r="I74" t="str">
        <f>IF(F74&gt;=90,"A",IF(F74&gt;=75,"B",IF(F74&gt;=60,"C",IF(F74&gt;=40,"D","F"))))</f>
        <v>D</v>
      </c>
      <c r="J74" t="str">
        <f t="shared" si="9"/>
        <v>Fail</v>
      </c>
    </row>
    <row r="75" spans="1:10" x14ac:dyDescent="0.3">
      <c r="A75" t="str">
        <v>Elna Condello</v>
      </c>
      <c r="B75" t="str">
        <v>Company Philosophy</v>
      </c>
      <c r="C75">
        <v>13</v>
      </c>
      <c r="D75">
        <v>20</v>
      </c>
      <c r="E75" s="1">
        <f t="shared" si="5"/>
        <v>0.65</v>
      </c>
      <c r="F75">
        <f t="shared" si="6"/>
        <v>45</v>
      </c>
      <c r="G75">
        <f t="shared" si="7"/>
        <v>131</v>
      </c>
      <c r="H75" s="1">
        <f t="shared" si="8"/>
        <v>0.34351145038167941</v>
      </c>
      <c r="I75" t="str">
        <f>IF(F75&gt;=90,"A",IF(F75&gt;=75,"B",IF(F75&gt;=60,"C",IF(F75&gt;=40,"D","F"))))</f>
        <v>D</v>
      </c>
      <c r="J75" t="str">
        <f t="shared" si="9"/>
        <v>Fail</v>
      </c>
    </row>
    <row r="76" spans="1:10" x14ac:dyDescent="0.3">
      <c r="A76" t="str">
        <v>Elna Condello</v>
      </c>
      <c r="B76" t="str">
        <v>Financial Skills</v>
      </c>
      <c r="C76">
        <v>29</v>
      </c>
      <c r="D76">
        <v>100</v>
      </c>
      <c r="E76" s="1">
        <f t="shared" si="5"/>
        <v>0.28999999999999998</v>
      </c>
      <c r="F76">
        <f t="shared" si="6"/>
        <v>45</v>
      </c>
      <c r="G76">
        <f t="shared" si="7"/>
        <v>131</v>
      </c>
      <c r="H76" s="1">
        <f t="shared" si="8"/>
        <v>0.34351145038167941</v>
      </c>
      <c r="I76" t="str">
        <f>IF(F76&gt;=90,"A",IF(F76&gt;=75,"B",IF(F76&gt;=60,"C",IF(F76&gt;=40,"D","F"))))</f>
        <v>D</v>
      </c>
      <c r="J76" t="str">
        <f t="shared" si="9"/>
        <v>Fail</v>
      </c>
    </row>
    <row r="77" spans="1:10" x14ac:dyDescent="0.3">
      <c r="A77" t="str">
        <v>Elna Condello</v>
      </c>
      <c r="B77" t="str">
        <v>Drug Test</v>
      </c>
      <c r="C77">
        <v>0</v>
      </c>
      <c r="D77">
        <v>1</v>
      </c>
      <c r="E77" s="1">
        <f t="shared" si="5"/>
        <v>0</v>
      </c>
      <c r="F77">
        <f t="shared" si="6"/>
        <v>45</v>
      </c>
      <c r="G77">
        <f t="shared" si="7"/>
        <v>131</v>
      </c>
      <c r="H77" s="1">
        <f t="shared" si="8"/>
        <v>0.34351145038167941</v>
      </c>
      <c r="I77" t="str">
        <f>IF(F77&gt;=90,"A",IF(F77&gt;=75,"B",IF(F77&gt;=60,"C",IF(F77&gt;=40,"D","F"))))</f>
        <v>D</v>
      </c>
      <c r="J77" t="str">
        <f t="shared" si="9"/>
        <v>Fail</v>
      </c>
    </row>
    <row r="78" spans="1:10" x14ac:dyDescent="0.3">
      <c r="A78" t="str">
        <v>Giana Dossey</v>
      </c>
      <c r="B78" t="str">
        <v>Safety</v>
      </c>
      <c r="C78">
        <v>0</v>
      </c>
      <c r="D78">
        <v>10</v>
      </c>
      <c r="E78" s="1">
        <f t="shared" si="5"/>
        <v>0</v>
      </c>
      <c r="F78">
        <f t="shared" si="6"/>
        <v>105</v>
      </c>
      <c r="G78">
        <f t="shared" si="7"/>
        <v>131</v>
      </c>
      <c r="H78" s="1">
        <f t="shared" si="8"/>
        <v>0.80152671755725191</v>
      </c>
      <c r="I78" t="str">
        <f>IF(F78&gt;=90,"A",IF(F78&gt;=75,"B",IF(F78&gt;=60,"C",IF(F78&gt;=40,"D","F"))))</f>
        <v>A</v>
      </c>
      <c r="J78" t="str">
        <f t="shared" si="9"/>
        <v>Pass</v>
      </c>
    </row>
    <row r="79" spans="1:10" x14ac:dyDescent="0.3">
      <c r="A79" t="str">
        <v>Giana Dossey</v>
      </c>
      <c r="B79" t="str">
        <v>Company Philosophy</v>
      </c>
      <c r="C79">
        <v>10</v>
      </c>
      <c r="D79">
        <v>20</v>
      </c>
      <c r="E79" s="1">
        <f t="shared" si="5"/>
        <v>0.5</v>
      </c>
      <c r="F79">
        <f t="shared" si="6"/>
        <v>105</v>
      </c>
      <c r="G79">
        <f t="shared" si="7"/>
        <v>131</v>
      </c>
      <c r="H79" s="1">
        <f t="shared" si="8"/>
        <v>0.80152671755725191</v>
      </c>
      <c r="I79" t="str">
        <f>IF(F79&gt;=90,"A",IF(F79&gt;=75,"B",IF(F79&gt;=60,"C",IF(F79&gt;=40,"D","F"))))</f>
        <v>A</v>
      </c>
      <c r="J79" t="str">
        <f t="shared" si="9"/>
        <v>Pass</v>
      </c>
    </row>
    <row r="80" spans="1:10" x14ac:dyDescent="0.3">
      <c r="A80" t="str">
        <v>Giana Dossey</v>
      </c>
      <c r="B80" t="str">
        <v>Financial Skills</v>
      </c>
      <c r="C80">
        <v>94</v>
      </c>
      <c r="D80">
        <v>100</v>
      </c>
      <c r="E80" s="1">
        <f t="shared" si="5"/>
        <v>0.94</v>
      </c>
      <c r="F80">
        <f t="shared" si="6"/>
        <v>105</v>
      </c>
      <c r="G80">
        <f t="shared" si="7"/>
        <v>131</v>
      </c>
      <c r="H80" s="1">
        <f t="shared" si="8"/>
        <v>0.80152671755725191</v>
      </c>
      <c r="I80" t="str">
        <f>IF(F80&gt;=90,"A",IF(F80&gt;=75,"B",IF(F80&gt;=60,"C",IF(F80&gt;=40,"D","F"))))</f>
        <v>A</v>
      </c>
      <c r="J80" t="str">
        <f t="shared" si="9"/>
        <v>Pass</v>
      </c>
    </row>
    <row r="81" spans="1:10" x14ac:dyDescent="0.3">
      <c r="A81" t="str">
        <v>Giana Dossey</v>
      </c>
      <c r="B81" t="str">
        <v>Drug Test</v>
      </c>
      <c r="C81">
        <v>1</v>
      </c>
      <c r="D81">
        <v>1</v>
      </c>
      <c r="E81" s="1">
        <f t="shared" si="5"/>
        <v>1</v>
      </c>
      <c r="F81">
        <f t="shared" si="6"/>
        <v>105</v>
      </c>
      <c r="G81">
        <f t="shared" si="7"/>
        <v>131</v>
      </c>
      <c r="H81" s="1">
        <f t="shared" si="8"/>
        <v>0.80152671755725191</v>
      </c>
      <c r="I81" t="str">
        <f>IF(F81&gt;=90,"A",IF(F81&gt;=75,"B",IF(F81&gt;=60,"C",IF(F81&gt;=40,"D","F"))))</f>
        <v>A</v>
      </c>
      <c r="J81" t="str">
        <f t="shared" si="9"/>
        <v>Pass</v>
      </c>
    </row>
    <row r="82" spans="1:10" x14ac:dyDescent="0.3">
      <c r="A82" t="str">
        <v>Debroah Wardle</v>
      </c>
      <c r="B82" t="str">
        <v>Safety</v>
      </c>
      <c r="C82">
        <v>10</v>
      </c>
      <c r="D82">
        <v>10</v>
      </c>
      <c r="E82" s="1">
        <f t="shared" si="5"/>
        <v>1</v>
      </c>
      <c r="F82">
        <f t="shared" si="6"/>
        <v>42</v>
      </c>
      <c r="G82">
        <f t="shared" si="7"/>
        <v>131</v>
      </c>
      <c r="H82" s="1">
        <f t="shared" si="8"/>
        <v>0.32061068702290074</v>
      </c>
      <c r="I82" t="str">
        <f>IF(F82&gt;=90,"A",IF(F82&gt;=75,"B",IF(F82&gt;=60,"C",IF(F82&gt;=40,"D","F"))))</f>
        <v>D</v>
      </c>
      <c r="J82" t="str">
        <f t="shared" si="9"/>
        <v>Fail</v>
      </c>
    </row>
    <row r="83" spans="1:10" x14ac:dyDescent="0.3">
      <c r="A83" t="str">
        <v>Debroah Wardle</v>
      </c>
      <c r="B83" t="str">
        <v>Company Philosophy</v>
      </c>
      <c r="C83">
        <v>16</v>
      </c>
      <c r="D83">
        <v>20</v>
      </c>
      <c r="E83" s="1">
        <f t="shared" si="5"/>
        <v>0.8</v>
      </c>
      <c r="F83">
        <f t="shared" si="6"/>
        <v>42</v>
      </c>
      <c r="G83">
        <f t="shared" si="7"/>
        <v>131</v>
      </c>
      <c r="H83" s="1">
        <f t="shared" si="8"/>
        <v>0.32061068702290074</v>
      </c>
      <c r="I83" t="str">
        <f>IF(F83&gt;=90,"A",IF(F83&gt;=75,"B",IF(F83&gt;=60,"C",IF(F83&gt;=40,"D","F"))))</f>
        <v>D</v>
      </c>
      <c r="J83" t="str">
        <f t="shared" si="9"/>
        <v>Fail</v>
      </c>
    </row>
    <row r="84" spans="1:10" x14ac:dyDescent="0.3">
      <c r="A84" t="str">
        <v>Debroah Wardle</v>
      </c>
      <c r="B84" t="str">
        <v>Financial Skills</v>
      </c>
      <c r="C84">
        <v>16</v>
      </c>
      <c r="D84">
        <v>100</v>
      </c>
      <c r="E84" s="1">
        <f t="shared" si="5"/>
        <v>0.16</v>
      </c>
      <c r="F84">
        <f t="shared" si="6"/>
        <v>42</v>
      </c>
      <c r="G84">
        <f t="shared" si="7"/>
        <v>131</v>
      </c>
      <c r="H84" s="1">
        <f t="shared" si="8"/>
        <v>0.32061068702290074</v>
      </c>
      <c r="I84" t="str">
        <f>IF(F84&gt;=90,"A",IF(F84&gt;=75,"B",IF(F84&gt;=60,"C",IF(F84&gt;=40,"D","F"))))</f>
        <v>D</v>
      </c>
      <c r="J84" t="str">
        <f t="shared" si="9"/>
        <v>Fail</v>
      </c>
    </row>
    <row r="85" spans="1:10" x14ac:dyDescent="0.3">
      <c r="A85" t="str">
        <v>Debroah Wardle</v>
      </c>
      <c r="B85" t="str">
        <v>Drug Test</v>
      </c>
      <c r="C85">
        <v>0</v>
      </c>
      <c r="D85">
        <v>1</v>
      </c>
      <c r="E85" s="1">
        <f t="shared" si="5"/>
        <v>0</v>
      </c>
      <c r="F85">
        <f t="shared" si="6"/>
        <v>42</v>
      </c>
      <c r="G85">
        <f t="shared" si="7"/>
        <v>131</v>
      </c>
      <c r="H85" s="1">
        <f t="shared" si="8"/>
        <v>0.32061068702290074</v>
      </c>
      <c r="I85" t="str">
        <f>IF(F85&gt;=90,"A",IF(F85&gt;=75,"B",IF(F85&gt;=60,"C",IF(F85&gt;=40,"D","F"))))</f>
        <v>D</v>
      </c>
      <c r="J85" t="str">
        <f t="shared" si="9"/>
        <v>Fail</v>
      </c>
    </row>
    <row r="86" spans="1:10" x14ac:dyDescent="0.3">
      <c r="A86" t="str">
        <v>Sherlene Wetherington</v>
      </c>
      <c r="B86" t="str">
        <v>Safety</v>
      </c>
      <c r="C86">
        <v>5</v>
      </c>
      <c r="D86">
        <v>10</v>
      </c>
      <c r="E86" s="1">
        <f t="shared" si="5"/>
        <v>0.5</v>
      </c>
      <c r="F86">
        <f t="shared" si="6"/>
        <v>82</v>
      </c>
      <c r="G86">
        <f t="shared" si="7"/>
        <v>131</v>
      </c>
      <c r="H86" s="1">
        <f t="shared" si="8"/>
        <v>0.62595419847328249</v>
      </c>
      <c r="I86" t="str">
        <f>IF(F86&gt;=90,"A",IF(F86&gt;=75,"B",IF(F86&gt;=60,"C",IF(F86&gt;=40,"D","F"))))</f>
        <v>B</v>
      </c>
      <c r="J86" t="str">
        <f t="shared" si="9"/>
        <v>Pass</v>
      </c>
    </row>
    <row r="87" spans="1:10" x14ac:dyDescent="0.3">
      <c r="A87" t="str">
        <v>Sherlene Wetherington</v>
      </c>
      <c r="B87" t="str">
        <v>Company Philosophy</v>
      </c>
      <c r="C87">
        <v>7</v>
      </c>
      <c r="D87">
        <v>20</v>
      </c>
      <c r="E87" s="1">
        <f t="shared" si="5"/>
        <v>0.35</v>
      </c>
      <c r="F87">
        <f t="shared" si="6"/>
        <v>82</v>
      </c>
      <c r="G87">
        <f t="shared" si="7"/>
        <v>131</v>
      </c>
      <c r="H87" s="1">
        <f t="shared" si="8"/>
        <v>0.62595419847328249</v>
      </c>
      <c r="I87" t="str">
        <f>IF(F87&gt;=90,"A",IF(F87&gt;=75,"B",IF(F87&gt;=60,"C",IF(F87&gt;=40,"D","F"))))</f>
        <v>B</v>
      </c>
      <c r="J87" t="str">
        <f t="shared" si="9"/>
        <v>Pass</v>
      </c>
    </row>
    <row r="88" spans="1:10" x14ac:dyDescent="0.3">
      <c r="A88" t="str">
        <v>Sherlene Wetherington</v>
      </c>
      <c r="B88" t="str">
        <v>Financial Skills</v>
      </c>
      <c r="C88">
        <v>70</v>
      </c>
      <c r="D88">
        <v>100</v>
      </c>
      <c r="E88" s="1">
        <f t="shared" si="5"/>
        <v>0.7</v>
      </c>
      <c r="F88">
        <f t="shared" si="6"/>
        <v>82</v>
      </c>
      <c r="G88">
        <f t="shared" si="7"/>
        <v>131</v>
      </c>
      <c r="H88" s="1">
        <f t="shared" si="8"/>
        <v>0.62595419847328249</v>
      </c>
      <c r="I88" t="str">
        <f>IF(F88&gt;=90,"A",IF(F88&gt;=75,"B",IF(F88&gt;=60,"C",IF(F88&gt;=40,"D","F"))))</f>
        <v>B</v>
      </c>
      <c r="J88" t="str">
        <f t="shared" si="9"/>
        <v>Pass</v>
      </c>
    </row>
    <row r="89" spans="1:10" x14ac:dyDescent="0.3">
      <c r="A89" t="str">
        <v>Sherlene Wetherington</v>
      </c>
      <c r="B89" t="str">
        <v>Drug Test</v>
      </c>
      <c r="C89">
        <v>0</v>
      </c>
      <c r="D89">
        <v>1</v>
      </c>
      <c r="E89" s="1">
        <f t="shared" si="5"/>
        <v>0</v>
      </c>
      <c r="F89">
        <f t="shared" si="6"/>
        <v>82</v>
      </c>
      <c r="G89">
        <f t="shared" si="7"/>
        <v>131</v>
      </c>
      <c r="H89" s="1">
        <f t="shared" si="8"/>
        <v>0.62595419847328249</v>
      </c>
      <c r="I89" t="str">
        <f>IF(F89&gt;=90,"A",IF(F89&gt;=75,"B",IF(F89&gt;=60,"C",IF(F89&gt;=40,"D","F"))))</f>
        <v>B</v>
      </c>
      <c r="J89" t="str">
        <f t="shared" si="9"/>
        <v>Pass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27E33-416A-4E39-9DB1-2AAB1E74E926}">
  <dimension ref="A1:B15"/>
  <sheetViews>
    <sheetView workbookViewId="0">
      <selection activeCell="B15" sqref="B15"/>
    </sheetView>
  </sheetViews>
  <sheetFormatPr defaultRowHeight="14.4" x14ac:dyDescent="0.3"/>
  <cols>
    <col min="1" max="1" width="23.21875" bestFit="1" customWidth="1"/>
    <col min="2" max="2" width="15.5546875" bestFit="1" customWidth="1"/>
    <col min="3" max="3" width="10.77734375" bestFit="1" customWidth="1"/>
    <col min="4" max="4" width="23.21875" bestFit="1" customWidth="1"/>
    <col min="5" max="5" width="15.5546875" bestFit="1" customWidth="1"/>
    <col min="6" max="6" width="4.6640625" bestFit="1" customWidth="1"/>
    <col min="7" max="7" width="10.77734375" bestFit="1" customWidth="1"/>
  </cols>
  <sheetData>
    <row r="1" spans="1:2" x14ac:dyDescent="0.3">
      <c r="A1" s="3" t="s">
        <v>45</v>
      </c>
      <c r="B1" s="3" t="s">
        <v>46</v>
      </c>
    </row>
    <row r="2" spans="1:2" x14ac:dyDescent="0.3">
      <c r="A2" s="3" t="s">
        <v>41</v>
      </c>
      <c r="B2" t="s">
        <v>43</v>
      </c>
    </row>
    <row r="3" spans="1:2" x14ac:dyDescent="0.3">
      <c r="A3" s="4" t="s">
        <v>23</v>
      </c>
      <c r="B3" s="5">
        <v>1</v>
      </c>
    </row>
    <row r="4" spans="1:2" x14ac:dyDescent="0.3">
      <c r="A4" s="4" t="s">
        <v>19</v>
      </c>
      <c r="B4" s="5">
        <v>1</v>
      </c>
    </row>
    <row r="5" spans="1:2" x14ac:dyDescent="0.3">
      <c r="A5" s="4" t="s">
        <v>12</v>
      </c>
      <c r="B5" s="5">
        <v>1</v>
      </c>
    </row>
    <row r="6" spans="1:2" x14ac:dyDescent="0.3">
      <c r="A6" s="4" t="s">
        <v>14</v>
      </c>
      <c r="B6" s="5">
        <v>1</v>
      </c>
    </row>
    <row r="7" spans="1:2" x14ac:dyDescent="0.3">
      <c r="A7" s="4" t="s">
        <v>18</v>
      </c>
      <c r="B7" s="5">
        <v>1</v>
      </c>
    </row>
    <row r="8" spans="1:2" x14ac:dyDescent="0.3">
      <c r="A8" s="4" t="s">
        <v>27</v>
      </c>
      <c r="B8" s="5">
        <v>1</v>
      </c>
    </row>
    <row r="9" spans="1:2" x14ac:dyDescent="0.3">
      <c r="A9" s="4" t="s">
        <v>10</v>
      </c>
      <c r="B9" s="5">
        <v>1</v>
      </c>
    </row>
    <row r="10" spans="1:2" x14ac:dyDescent="0.3">
      <c r="A10" s="4" t="s">
        <v>25</v>
      </c>
      <c r="B10" s="5">
        <v>1</v>
      </c>
    </row>
    <row r="11" spans="1:2" x14ac:dyDescent="0.3">
      <c r="A11" s="4" t="s">
        <v>17</v>
      </c>
      <c r="B11" s="5">
        <v>1</v>
      </c>
    </row>
    <row r="12" spans="1:2" x14ac:dyDescent="0.3">
      <c r="A12" s="4" t="s">
        <v>4</v>
      </c>
      <c r="B12" s="5">
        <v>1</v>
      </c>
    </row>
    <row r="13" spans="1:2" x14ac:dyDescent="0.3">
      <c r="A13" s="4" t="s">
        <v>29</v>
      </c>
      <c r="B13" s="5">
        <v>1</v>
      </c>
    </row>
    <row r="14" spans="1:2" x14ac:dyDescent="0.3">
      <c r="A14" s="4" t="s">
        <v>22</v>
      </c>
      <c r="B14" s="5">
        <v>1</v>
      </c>
    </row>
    <row r="15" spans="1:2" x14ac:dyDescent="0.3">
      <c r="A15" s="4" t="s">
        <v>42</v>
      </c>
      <c r="B15" s="5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6B5C2-369F-4B24-8ECF-B1563FA02B28}">
  <dimension ref="A1:V72"/>
  <sheetViews>
    <sheetView showGridLines="0" tabSelected="1" zoomScale="81" zoomScaleNormal="81" workbookViewId="0">
      <selection activeCell="D21" sqref="D21"/>
    </sheetView>
  </sheetViews>
  <sheetFormatPr defaultRowHeight="14.4" x14ac:dyDescent="0.3"/>
  <cols>
    <col min="1" max="1" width="24.88671875" bestFit="1" customWidth="1"/>
    <col min="2" max="2" width="14.5546875" bestFit="1" customWidth="1"/>
    <col min="3" max="3" width="4.33203125" customWidth="1"/>
    <col min="4" max="4" width="18.6640625" bestFit="1" customWidth="1"/>
    <col min="5" max="5" width="16.33203125" customWidth="1"/>
    <col min="6" max="6" width="7.6640625" bestFit="1" customWidth="1"/>
    <col min="7" max="7" width="12" bestFit="1" customWidth="1"/>
    <col min="8" max="8" width="5.5546875" bestFit="1" customWidth="1"/>
  </cols>
  <sheetData>
    <row r="1" spans="1:22" x14ac:dyDescent="0.3">
      <c r="A1" s="41" t="s">
        <v>68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23.4" customHeight="1" thickBot="1" x14ac:dyDescent="0.3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</row>
    <row r="3" spans="1:22" ht="18" x14ac:dyDescent="0.3">
      <c r="A3" s="6" t="s">
        <v>35</v>
      </c>
      <c r="B3" s="7">
        <f>COUNTA(_xlfn.UNIQUE(calculations!A2:A89))</f>
        <v>22</v>
      </c>
      <c r="D3" s="31" t="s">
        <v>51</v>
      </c>
      <c r="E3" s="32"/>
      <c r="G3" s="23"/>
    </row>
    <row r="4" spans="1:22" ht="18" x14ac:dyDescent="0.3">
      <c r="A4" s="8" t="s">
        <v>36</v>
      </c>
      <c r="B4" s="9">
        <f>AVERAGEA(_xlfn.UNIQUE(calculations!H:H))</f>
        <v>0.48396946564885496</v>
      </c>
      <c r="D4" s="26" t="s">
        <v>48</v>
      </c>
      <c r="E4" s="27" t="s">
        <v>49</v>
      </c>
      <c r="G4" s="25"/>
    </row>
    <row r="5" spans="1:22" ht="18" x14ac:dyDescent="0.3">
      <c r="A5" s="8" t="s">
        <v>37</v>
      </c>
      <c r="B5" s="9">
        <f>GETPIVOTDATA("employee_name",helper!$A$1,"final_pass_fail","Pass")/analysis!B3</f>
        <v>0.54545454545454541</v>
      </c>
      <c r="D5" s="21" t="s">
        <v>12</v>
      </c>
      <c r="E5" s="28">
        <v>0.93129770992366412</v>
      </c>
      <c r="G5" s="25"/>
    </row>
    <row r="6" spans="1:22" ht="18" x14ac:dyDescent="0.3">
      <c r="A6" s="8" t="s">
        <v>38</v>
      </c>
      <c r="B6" s="10">
        <f>B3-GETPIVOTDATA("employee_name",helper!$A$1,"final_pass_fail","Pass")</f>
        <v>10</v>
      </c>
      <c r="D6" s="11" t="s">
        <v>19</v>
      </c>
      <c r="E6" s="29">
        <v>0.87022900763358779</v>
      </c>
      <c r="G6" s="25"/>
    </row>
    <row r="7" spans="1:22" ht="18" x14ac:dyDescent="0.3">
      <c r="A7" s="17" t="s">
        <v>39</v>
      </c>
      <c r="B7" s="18" t="str">
        <f>INDEX(A50:A72,MATCH(MAX(B50:B72),B50:B72,0))</f>
        <v>Cara Clarke</v>
      </c>
      <c r="D7" s="11" t="s">
        <v>4</v>
      </c>
      <c r="E7" s="29">
        <v>0.81679389312977102</v>
      </c>
      <c r="G7" s="25"/>
    </row>
    <row r="8" spans="1:22" ht="18.600000000000001" thickBot="1" x14ac:dyDescent="0.35">
      <c r="A8" s="19" t="s">
        <v>40</v>
      </c>
      <c r="B8" s="20" t="str">
        <f>INDEX(A50:A72,MATCH(MIN(B50:B72),B50:B72,0))</f>
        <v>Eugena Esser</v>
      </c>
      <c r="D8" s="11" t="s">
        <v>22</v>
      </c>
      <c r="E8" s="29">
        <v>0.81679389312977102</v>
      </c>
      <c r="G8" s="25"/>
    </row>
    <row r="9" spans="1:22" ht="15" thickBot="1" x14ac:dyDescent="0.35">
      <c r="D9" s="13" t="s">
        <v>27</v>
      </c>
      <c r="E9" s="30">
        <v>0.80152671755725191</v>
      </c>
      <c r="G9" s="25"/>
    </row>
    <row r="10" spans="1:22" x14ac:dyDescent="0.3">
      <c r="G10" s="25"/>
    </row>
    <row r="11" spans="1:22" ht="21" x14ac:dyDescent="0.4">
      <c r="A11" s="37" t="s">
        <v>55</v>
      </c>
      <c r="B11" s="37"/>
      <c r="C11" s="37"/>
      <c r="D11" s="37"/>
      <c r="E11" s="37"/>
      <c r="G11" s="25"/>
    </row>
    <row r="12" spans="1:22" ht="15.6" x14ac:dyDescent="0.3">
      <c r="A12" s="38" t="s">
        <v>56</v>
      </c>
      <c r="B12" s="38"/>
      <c r="C12" s="38"/>
      <c r="D12" s="38"/>
      <c r="E12" s="38"/>
      <c r="G12" s="25"/>
    </row>
    <row r="13" spans="1:22" ht="15.6" x14ac:dyDescent="0.3">
      <c r="A13" s="39" t="s">
        <v>57</v>
      </c>
      <c r="B13" s="39"/>
      <c r="C13" s="39"/>
      <c r="D13" s="39"/>
      <c r="E13" s="39"/>
      <c r="G13" s="25"/>
    </row>
    <row r="14" spans="1:22" ht="15.6" x14ac:dyDescent="0.3">
      <c r="A14" s="39" t="s">
        <v>58</v>
      </c>
      <c r="B14" s="39"/>
      <c r="C14" s="39"/>
      <c r="D14" s="39"/>
      <c r="E14" s="39"/>
      <c r="G14" s="25"/>
    </row>
    <row r="15" spans="1:22" ht="15.6" x14ac:dyDescent="0.3">
      <c r="A15" s="38" t="s">
        <v>59</v>
      </c>
      <c r="B15" s="38"/>
      <c r="C15" s="38"/>
      <c r="D15" s="38"/>
      <c r="E15" s="38"/>
      <c r="G15" s="25"/>
    </row>
    <row r="16" spans="1:22" ht="15.6" x14ac:dyDescent="0.3">
      <c r="A16" s="39" t="s">
        <v>62</v>
      </c>
      <c r="B16" s="39"/>
      <c r="C16" s="39"/>
      <c r="D16" s="39"/>
      <c r="E16" s="39"/>
      <c r="G16" s="25"/>
    </row>
    <row r="17" spans="1:7" ht="15.6" x14ac:dyDescent="0.3">
      <c r="A17" s="39" t="s">
        <v>60</v>
      </c>
      <c r="B17" s="39" t="s">
        <v>61</v>
      </c>
      <c r="C17" s="39"/>
      <c r="D17" s="39"/>
      <c r="E17" s="39"/>
      <c r="G17" s="25"/>
    </row>
    <row r="18" spans="1:7" x14ac:dyDescent="0.3">
      <c r="G18" s="25"/>
    </row>
    <row r="19" spans="1:7" ht="21" x14ac:dyDescent="0.4">
      <c r="A19" s="40" t="s">
        <v>63</v>
      </c>
      <c r="G19" s="25"/>
    </row>
    <row r="20" spans="1:7" ht="15.6" x14ac:dyDescent="0.3">
      <c r="A20" s="39" t="s">
        <v>64</v>
      </c>
      <c r="B20" s="39"/>
      <c r="C20" s="39"/>
      <c r="D20" s="39"/>
      <c r="E20" s="39"/>
      <c r="G20" s="25"/>
    </row>
    <row r="21" spans="1:7" ht="15.6" x14ac:dyDescent="0.3">
      <c r="A21" s="39" t="s">
        <v>65</v>
      </c>
      <c r="B21" s="39"/>
      <c r="C21" s="39"/>
      <c r="D21" s="39"/>
      <c r="E21" s="39"/>
      <c r="G21" s="25"/>
    </row>
    <row r="22" spans="1:7" ht="15.6" x14ac:dyDescent="0.3">
      <c r="A22" s="39" t="s">
        <v>66</v>
      </c>
      <c r="B22" s="39"/>
      <c r="C22" s="39"/>
      <c r="D22" s="39"/>
      <c r="E22" s="39"/>
      <c r="G22" s="25"/>
    </row>
    <row r="23" spans="1:7" ht="15.6" x14ac:dyDescent="0.3">
      <c r="A23" s="39" t="s">
        <v>67</v>
      </c>
      <c r="B23" s="39"/>
      <c r="C23" s="39"/>
      <c r="D23" s="39"/>
      <c r="E23" s="39"/>
      <c r="G23" s="25"/>
    </row>
    <row r="24" spans="1:7" x14ac:dyDescent="0.3">
      <c r="G24" s="25"/>
    </row>
    <row r="25" spans="1:7" x14ac:dyDescent="0.3">
      <c r="G25" s="25"/>
    </row>
    <row r="26" spans="1:7" x14ac:dyDescent="0.3">
      <c r="G26" s="2"/>
    </row>
    <row r="49" spans="1:5" ht="15" thickBot="1" x14ac:dyDescent="0.35"/>
    <row r="50" spans="1:5" ht="18" x14ac:dyDescent="0.35">
      <c r="A50" s="15" t="s">
        <v>48</v>
      </c>
      <c r="B50" s="16" t="s">
        <v>49</v>
      </c>
      <c r="C50" s="23"/>
      <c r="D50" s="35" t="s">
        <v>50</v>
      </c>
      <c r="E50" s="24" t="s">
        <v>52</v>
      </c>
    </row>
    <row r="51" spans="1:5" x14ac:dyDescent="0.3">
      <c r="A51" s="21" t="s">
        <v>12</v>
      </c>
      <c r="B51" s="28">
        <v>0.93129770992366412</v>
      </c>
      <c r="C51" s="33"/>
      <c r="D51" s="11" t="s">
        <v>43</v>
      </c>
      <c r="E51" s="12">
        <f>GETPIVOTDATA("employee_name",helper!$A$1,"final_pass_fail","Pass")</f>
        <v>12</v>
      </c>
    </row>
    <row r="52" spans="1:5" ht="15" thickBot="1" x14ac:dyDescent="0.35">
      <c r="A52" s="11" t="s">
        <v>19</v>
      </c>
      <c r="B52" s="29">
        <v>0.87022900763358779</v>
      </c>
      <c r="C52" s="33"/>
      <c r="D52" s="13" t="s">
        <v>44</v>
      </c>
      <c r="E52" s="14">
        <f>B6</f>
        <v>10</v>
      </c>
    </row>
    <row r="53" spans="1:5" ht="15" thickBot="1" x14ac:dyDescent="0.35">
      <c r="A53" s="11" t="s">
        <v>4</v>
      </c>
      <c r="B53" s="29">
        <v>0.81679389312977102</v>
      </c>
      <c r="C53" s="33"/>
    </row>
    <row r="54" spans="1:5" ht="18" x14ac:dyDescent="0.35">
      <c r="A54" s="11" t="s">
        <v>22</v>
      </c>
      <c r="B54" s="29">
        <v>0.81679389312977102</v>
      </c>
      <c r="C54" s="33"/>
      <c r="D54" s="35" t="s">
        <v>53</v>
      </c>
      <c r="E54" s="36" t="s">
        <v>54</v>
      </c>
    </row>
    <row r="55" spans="1:5" x14ac:dyDescent="0.3">
      <c r="A55" s="11" t="s">
        <v>27</v>
      </c>
      <c r="B55" s="29">
        <v>0.80152671755725191</v>
      </c>
      <c r="C55" s="33"/>
      <c r="D55" s="11" t="s">
        <v>5</v>
      </c>
      <c r="E55" s="29">
        <f>AVERAGEIF(calculations!B:B,"Safety",calculations!E:E)</f>
        <v>0.5818181818181819</v>
      </c>
    </row>
    <row r="56" spans="1:5" x14ac:dyDescent="0.3">
      <c r="A56" s="11" t="s">
        <v>29</v>
      </c>
      <c r="B56" s="29">
        <v>0.62595419847328249</v>
      </c>
      <c r="C56" s="33"/>
      <c r="D56" s="11" t="s">
        <v>6</v>
      </c>
      <c r="E56" s="29">
        <f>AVERAGEIF(calculations!B:B,"Company Philosophy",calculations!E:E)</f>
        <v>0.54772727272727273</v>
      </c>
    </row>
    <row r="57" spans="1:5" x14ac:dyDescent="0.3">
      <c r="A57" s="11" t="s">
        <v>18</v>
      </c>
      <c r="B57" s="29">
        <v>0.61832061068702293</v>
      </c>
      <c r="C57" s="33"/>
      <c r="D57" s="11" t="s">
        <v>8</v>
      </c>
      <c r="E57" s="29">
        <f>AVERAGEIF(calculations!B:B,"Drug Test",calculations!E:E)</f>
        <v>0.5</v>
      </c>
    </row>
    <row r="58" spans="1:5" ht="15" thickBot="1" x14ac:dyDescent="0.35">
      <c r="A58" s="11" t="s">
        <v>14</v>
      </c>
      <c r="B58" s="29">
        <v>0.61068702290076338</v>
      </c>
      <c r="C58" s="33"/>
      <c r="D58" s="13" t="s">
        <v>7</v>
      </c>
      <c r="E58" s="30">
        <f>AVERAGEIF(calculations!B:B,"Financial Skills",calculations!E:E)</f>
        <v>0.49136363636363628</v>
      </c>
    </row>
    <row r="59" spans="1:5" x14ac:dyDescent="0.3">
      <c r="A59" s="11" t="s">
        <v>17</v>
      </c>
      <c r="B59" s="29">
        <v>0.58015267175572516</v>
      </c>
      <c r="C59" s="33"/>
    </row>
    <row r="60" spans="1:5" x14ac:dyDescent="0.3">
      <c r="A60" s="11" t="s">
        <v>10</v>
      </c>
      <c r="B60" s="29">
        <v>0.56488549618320616</v>
      </c>
      <c r="C60" s="33"/>
    </row>
    <row r="61" spans="1:5" x14ac:dyDescent="0.3">
      <c r="A61" s="11" t="s">
        <v>23</v>
      </c>
      <c r="B61" s="29">
        <v>0.52671755725190839</v>
      </c>
      <c r="C61" s="33"/>
    </row>
    <row r="62" spans="1:5" x14ac:dyDescent="0.3">
      <c r="A62" s="11" t="s">
        <v>25</v>
      </c>
      <c r="B62" s="29">
        <v>0.52671755725190839</v>
      </c>
      <c r="C62" s="33"/>
    </row>
    <row r="63" spans="1:5" x14ac:dyDescent="0.3">
      <c r="A63" s="11" t="s">
        <v>20</v>
      </c>
      <c r="B63" s="29">
        <v>0.48091603053435117</v>
      </c>
      <c r="C63" s="33"/>
    </row>
    <row r="64" spans="1:5" x14ac:dyDescent="0.3">
      <c r="A64" s="11" t="s">
        <v>15</v>
      </c>
      <c r="B64" s="29">
        <v>0.4351145038167939</v>
      </c>
      <c r="C64" s="33"/>
    </row>
    <row r="65" spans="1:3" x14ac:dyDescent="0.3">
      <c r="A65" s="11" t="s">
        <v>13</v>
      </c>
      <c r="B65" s="29">
        <v>0.36641221374045801</v>
      </c>
      <c r="C65" s="33"/>
    </row>
    <row r="66" spans="1:3" x14ac:dyDescent="0.3">
      <c r="A66" s="11" t="s">
        <v>26</v>
      </c>
      <c r="B66" s="29">
        <v>0.34351145038167941</v>
      </c>
      <c r="C66" s="33"/>
    </row>
    <row r="67" spans="1:3" x14ac:dyDescent="0.3">
      <c r="A67" s="11" t="s">
        <v>28</v>
      </c>
      <c r="B67" s="29">
        <v>0.32061068702290074</v>
      </c>
      <c r="C67" s="33"/>
    </row>
    <row r="68" spans="1:3" x14ac:dyDescent="0.3">
      <c r="A68" s="11" t="s">
        <v>21</v>
      </c>
      <c r="B68" s="29">
        <v>0.27480916030534353</v>
      </c>
      <c r="C68" s="33"/>
    </row>
    <row r="69" spans="1:3" x14ac:dyDescent="0.3">
      <c r="A69" s="11" t="s">
        <v>24</v>
      </c>
      <c r="B69" s="29">
        <v>0.22900763358778625</v>
      </c>
      <c r="C69" s="33"/>
    </row>
    <row r="70" spans="1:3" x14ac:dyDescent="0.3">
      <c r="A70" s="11" t="s">
        <v>16</v>
      </c>
      <c r="B70" s="29">
        <v>0.15267175572519084</v>
      </c>
      <c r="C70" s="33"/>
    </row>
    <row r="71" spans="1:3" x14ac:dyDescent="0.3">
      <c r="A71" s="22" t="s">
        <v>9</v>
      </c>
      <c r="B71" s="34">
        <v>0.12977099236641221</v>
      </c>
      <c r="C71" s="33"/>
    </row>
    <row r="72" spans="1:3" ht="15" thickBot="1" x14ac:dyDescent="0.35">
      <c r="A72" s="13" t="s">
        <v>11</v>
      </c>
      <c r="B72" s="30">
        <v>0.12977099236641221</v>
      </c>
      <c r="C72" s="33"/>
    </row>
  </sheetData>
  <sortState xmlns:xlrd2="http://schemas.microsoft.com/office/spreadsheetml/2017/richdata2" ref="D55:E58">
    <sortCondition descending="1" ref="E55:E58"/>
  </sortState>
  <mergeCells count="5">
    <mergeCell ref="D3:E3"/>
    <mergeCell ref="A11:E11"/>
    <mergeCell ref="A12:E12"/>
    <mergeCell ref="A15:E15"/>
    <mergeCell ref="A1:V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calculations</vt:lpstr>
      <vt:lpstr>helper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Hussain</dc:creator>
  <cp:lastModifiedBy>Mohd Hussain</cp:lastModifiedBy>
  <dcterms:created xsi:type="dcterms:W3CDTF">2026-03-26T13:42:13Z</dcterms:created>
  <dcterms:modified xsi:type="dcterms:W3CDTF">2026-03-26T18:14:28Z</dcterms:modified>
</cp:coreProperties>
</file>